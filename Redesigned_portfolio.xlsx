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710ff658a19dfd/Desktop/"/>
    </mc:Choice>
  </mc:AlternateContent>
  <xr:revisionPtr revIDLastSave="39" documentId="8_{BBD4A224-4194-4F76-8A97-5480A2101877}" xr6:coauthVersionLast="47" xr6:coauthVersionMax="47" xr10:uidLastSave="{4A0D1D02-AB53-40C6-8156-F3F57FF13B96}"/>
  <bookViews>
    <workbookView xWindow="420" yWindow="2570" windowWidth="14400" windowHeight="8710" xr2:uid="{583D045E-981E-4254-8CE9-BA75B9BC533A}"/>
  </bookViews>
  <sheets>
    <sheet name="Assignment Details" sheetId="1" r:id="rId1"/>
    <sheet name="Portfolio" sheetId="3" r:id="rId2"/>
    <sheet name="Calculation &amp; Assumption" sheetId="4" r:id="rId3"/>
    <sheet name="Projection" sheetId="7" r:id="rId4"/>
    <sheet name="Scheme Recommenda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3" l="1"/>
  <c r="E107" i="3"/>
  <c r="E106" i="3"/>
  <c r="E105" i="3"/>
  <c r="E104" i="3"/>
  <c r="E103" i="3"/>
  <c r="E102" i="3"/>
  <c r="C105" i="3"/>
  <c r="C102" i="3"/>
  <c r="E76" i="3"/>
  <c r="E74" i="3"/>
  <c r="E72" i="3"/>
  <c r="E73" i="3"/>
  <c r="E75" i="3"/>
  <c r="E71" i="3"/>
  <c r="E40" i="3"/>
  <c r="E39" i="3"/>
  <c r="E38" i="3"/>
  <c r="E37" i="3"/>
  <c r="Z3" i="7"/>
  <c r="V3" i="7"/>
  <c r="P6" i="7"/>
  <c r="R6" i="7" s="1"/>
  <c r="R4" i="7"/>
  <c r="D109" i="3"/>
  <c r="D85" i="3"/>
  <c r="D51" i="3"/>
  <c r="O9" i="4"/>
  <c r="I17" i="4"/>
  <c r="I9" i="4"/>
  <c r="D17" i="4"/>
  <c r="D9" i="4"/>
  <c r="D78" i="3"/>
  <c r="D44" i="3"/>
  <c r="M6" i="7"/>
  <c r="J7" i="7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G7" i="7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C71" i="3"/>
  <c r="C37" i="3"/>
  <c r="C75" i="3"/>
  <c r="C73" i="3"/>
  <c r="C38" i="3"/>
  <c r="D110" i="3"/>
  <c r="D9" i="3"/>
  <c r="D43" i="3"/>
  <c r="U6" i="7" s="1"/>
  <c r="V6" i="7" s="1"/>
  <c r="M21" i="6"/>
  <c r="M20" i="6"/>
  <c r="K20" i="6"/>
  <c r="M19" i="6"/>
  <c r="K21" i="6" s="1"/>
  <c r="K19" i="6"/>
  <c r="M17" i="6"/>
  <c r="M16" i="6"/>
  <c r="M15" i="6"/>
  <c r="K16" i="6" s="1"/>
  <c r="K15" i="6"/>
  <c r="M13" i="6"/>
  <c r="K13" i="6" s="1"/>
  <c r="M12" i="6"/>
  <c r="K12" i="6" s="1"/>
  <c r="M11" i="6"/>
  <c r="K11" i="6"/>
  <c r="M9" i="6"/>
  <c r="K9" i="6"/>
  <c r="M8" i="6"/>
  <c r="M7" i="6"/>
  <c r="K8" i="6" s="1"/>
  <c r="K7" i="6"/>
  <c r="O10" i="4"/>
  <c r="I10" i="4"/>
  <c r="C97" i="3"/>
  <c r="I19" i="4"/>
  <c r="I8" i="4"/>
  <c r="D77" i="3"/>
  <c r="I15" i="4" s="1"/>
  <c r="D96" i="3"/>
  <c r="C66" i="3"/>
  <c r="C32" i="3"/>
  <c r="D65" i="3"/>
  <c r="D63" i="3"/>
  <c r="D64" i="3" s="1"/>
  <c r="C63" i="3"/>
  <c r="D19" i="4"/>
  <c r="D31" i="3"/>
  <c r="D8" i="4" s="1"/>
  <c r="C29" i="3"/>
  <c r="D29" i="3"/>
  <c r="D30" i="3" s="1"/>
  <c r="D16" i="4" s="1"/>
  <c r="D18" i="4" s="1"/>
  <c r="D97" i="3" l="1"/>
  <c r="Y6" i="7"/>
  <c r="Z6" i="7" s="1"/>
  <c r="AA6" i="7" s="1"/>
  <c r="P7" i="7"/>
  <c r="P8" i="7" s="1"/>
  <c r="P9" i="7" s="1"/>
  <c r="P10" i="7" s="1"/>
  <c r="P11" i="7" s="1"/>
  <c r="P12" i="7" s="1"/>
  <c r="P13" i="7" s="1"/>
  <c r="P14" i="7" s="1"/>
  <c r="P15" i="7" s="1"/>
  <c r="P16" i="7" s="1"/>
  <c r="W6" i="7"/>
  <c r="U7" i="7"/>
  <c r="S6" i="7"/>
  <c r="M31" i="7"/>
  <c r="M28" i="7"/>
  <c r="M12" i="7"/>
  <c r="M27" i="7"/>
  <c r="M11" i="7"/>
  <c r="M26" i="7"/>
  <c r="M10" i="7"/>
  <c r="M25" i="7"/>
  <c r="M9" i="7"/>
  <c r="M24" i="7"/>
  <c r="M8" i="7"/>
  <c r="M23" i="7"/>
  <c r="M7" i="7"/>
  <c r="M22" i="7"/>
  <c r="M21" i="7"/>
  <c r="M20" i="7"/>
  <c r="M17" i="7"/>
  <c r="M16" i="7"/>
  <c r="M15" i="7"/>
  <c r="M30" i="7"/>
  <c r="M14" i="7"/>
  <c r="M29" i="7"/>
  <c r="M13" i="7"/>
  <c r="M19" i="7"/>
  <c r="M18" i="7"/>
  <c r="I16" i="4"/>
  <c r="I18" i="4" s="1"/>
  <c r="I23" i="4" s="1"/>
  <c r="O8" i="4"/>
  <c r="O12" i="4" s="1"/>
  <c r="K17" i="6"/>
  <c r="D79" i="3"/>
  <c r="I12" i="4"/>
  <c r="D66" i="3" s="1"/>
  <c r="D10" i="4"/>
  <c r="D12" i="4" s="1"/>
  <c r="D45" i="3"/>
  <c r="D32" i="3"/>
  <c r="D15" i="4"/>
  <c r="D23" i="4" s="1"/>
  <c r="R10" i="7" l="1"/>
  <c r="S10" i="7" s="1"/>
  <c r="R12" i="7"/>
  <c r="S12" i="7" s="1"/>
  <c r="R15" i="7"/>
  <c r="S15" i="7" s="1"/>
  <c r="R14" i="7"/>
  <c r="S14" i="7" s="1"/>
  <c r="R11" i="7"/>
  <c r="S11" i="7" s="1"/>
  <c r="R16" i="7"/>
  <c r="S16" i="7" s="1"/>
  <c r="AC6" i="7"/>
  <c r="Y7" i="7"/>
  <c r="Z7" i="7" s="1"/>
  <c r="AA7" i="7" s="1"/>
  <c r="R9" i="7"/>
  <c r="S9" i="7" s="1"/>
  <c r="R8" i="7"/>
  <c r="S8" i="7" s="1"/>
  <c r="U8" i="7"/>
  <c r="V7" i="7"/>
  <c r="W7" i="7" s="1"/>
  <c r="N18" i="7"/>
  <c r="N13" i="7"/>
  <c r="N7" i="7"/>
  <c r="N29" i="7"/>
  <c r="N12" i="7"/>
  <c r="N23" i="7"/>
  <c r="N9" i="7"/>
  <c r="N24" i="7"/>
  <c r="N25" i="7"/>
  <c r="N14" i="7"/>
  <c r="N30" i="7"/>
  <c r="N15" i="7"/>
  <c r="N28" i="7"/>
  <c r="N21" i="7"/>
  <c r="N8" i="7"/>
  <c r="N19" i="7"/>
  <c r="N10" i="7"/>
  <c r="N26" i="7"/>
  <c r="N11" i="7"/>
  <c r="N27" i="7"/>
  <c r="N16" i="7"/>
  <c r="N17" i="7"/>
  <c r="N20" i="7"/>
  <c r="N31" i="7"/>
  <c r="N22" i="7"/>
  <c r="I21" i="4"/>
  <c r="D80" i="3" s="1"/>
  <c r="D21" i="4"/>
  <c r="Y8" i="7" l="1"/>
  <c r="AC8" i="7" s="1"/>
  <c r="R7" i="7"/>
  <c r="S7" i="7" s="1"/>
  <c r="AC7" i="7"/>
  <c r="R13" i="7"/>
  <c r="S13" i="7" s="1"/>
  <c r="U9" i="7"/>
  <c r="V8" i="7"/>
  <c r="W8" i="7" s="1"/>
  <c r="I24" i="4"/>
  <c r="C82" i="3"/>
  <c r="D86" i="3"/>
  <c r="D89" i="3" s="1"/>
  <c r="D24" i="4"/>
  <c r="D46" i="3"/>
  <c r="Z8" i="7" l="1"/>
  <c r="AA8" i="7" s="1"/>
  <c r="Y9" i="7"/>
  <c r="Y10" i="7" s="1"/>
  <c r="S17" i="7"/>
  <c r="D112" i="3" s="1"/>
  <c r="U10" i="7"/>
  <c r="V9" i="7"/>
  <c r="W9" i="7" s="1"/>
  <c r="AC9" i="7"/>
  <c r="D52" i="3"/>
  <c r="D55" i="3" s="1"/>
  <c r="C48" i="3"/>
  <c r="Z9" i="7" l="1"/>
  <c r="AA9" i="7" s="1"/>
  <c r="U11" i="7"/>
  <c r="V10" i="7"/>
  <c r="W10" i="7" s="1"/>
  <c r="AC10" i="7"/>
  <c r="Y11" i="7"/>
  <c r="Z10" i="7"/>
  <c r="AA10" i="7" s="1"/>
  <c r="Y12" i="7" l="1"/>
  <c r="Z11" i="7"/>
  <c r="AA11" i="7" s="1"/>
  <c r="U12" i="7"/>
  <c r="V11" i="7"/>
  <c r="W11" i="7" s="1"/>
  <c r="AC11" i="7"/>
  <c r="U13" i="7" l="1"/>
  <c r="V12" i="7"/>
  <c r="W12" i="7" s="1"/>
  <c r="AC12" i="7"/>
  <c r="Y13" i="7"/>
  <c r="Z12" i="7"/>
  <c r="AA12" i="7" s="1"/>
  <c r="Y14" i="7" l="1"/>
  <c r="Z13" i="7"/>
  <c r="AA13" i="7" s="1"/>
  <c r="U14" i="7"/>
  <c r="V13" i="7"/>
  <c r="W13" i="7" s="1"/>
  <c r="AC13" i="7"/>
  <c r="U15" i="7" l="1"/>
  <c r="V14" i="7"/>
  <c r="W14" i="7" s="1"/>
  <c r="AC14" i="7"/>
  <c r="Y15" i="7"/>
  <c r="Z14" i="7"/>
  <c r="AA14" i="7" s="1"/>
  <c r="Y16" i="7" l="1"/>
  <c r="Z15" i="7"/>
  <c r="AA15" i="7" s="1"/>
  <c r="U16" i="7"/>
  <c r="V15" i="7"/>
  <c r="W15" i="7" s="1"/>
  <c r="AC15" i="7"/>
  <c r="U17" i="7" l="1"/>
  <c r="V16" i="7"/>
  <c r="W16" i="7" s="1"/>
  <c r="AC16" i="7"/>
  <c r="Y17" i="7"/>
  <c r="Z16" i="7"/>
  <c r="AA16" i="7" s="1"/>
  <c r="Y18" i="7" l="1"/>
  <c r="Z17" i="7"/>
  <c r="AA17" i="7" s="1"/>
  <c r="U18" i="7"/>
  <c r="V17" i="7"/>
  <c r="W17" i="7" s="1"/>
  <c r="AC17" i="7"/>
  <c r="U19" i="7" l="1"/>
  <c r="V18" i="7"/>
  <c r="W18" i="7" s="1"/>
  <c r="AC18" i="7"/>
  <c r="Y19" i="7"/>
  <c r="Z18" i="7"/>
  <c r="AA18" i="7" s="1"/>
  <c r="Y20" i="7" l="1"/>
  <c r="Z19" i="7"/>
  <c r="AA19" i="7" s="1"/>
  <c r="U20" i="7"/>
  <c r="V19" i="7"/>
  <c r="W19" i="7" s="1"/>
  <c r="AC19" i="7"/>
  <c r="V20" i="7" l="1"/>
  <c r="W20" i="7" s="1"/>
  <c r="W21" i="7" s="1"/>
  <c r="AC20" i="7"/>
  <c r="Y21" i="7"/>
  <c r="Z20" i="7"/>
  <c r="AA20" i="7" s="1"/>
  <c r="Y22" i="7" l="1"/>
  <c r="Z21" i="7"/>
  <c r="AA21" i="7" s="1"/>
  <c r="AC21" i="7"/>
  <c r="Y23" i="7" l="1"/>
  <c r="Z22" i="7"/>
  <c r="AA22" i="7" s="1"/>
  <c r="AC22" i="7"/>
  <c r="Y24" i="7" l="1"/>
  <c r="Z23" i="7"/>
  <c r="AA23" i="7" s="1"/>
  <c r="AC23" i="7"/>
  <c r="Y25" i="7" l="1"/>
  <c r="Z24" i="7"/>
  <c r="AA24" i="7" s="1"/>
  <c r="AC24" i="7"/>
  <c r="Y26" i="7" l="1"/>
  <c r="Z25" i="7"/>
  <c r="AA25" i="7" s="1"/>
  <c r="AC25" i="7"/>
  <c r="Y27" i="7" l="1"/>
  <c r="Z26" i="7"/>
  <c r="AA26" i="7" s="1"/>
  <c r="AC26" i="7"/>
  <c r="Y28" i="7" l="1"/>
  <c r="Z27" i="7"/>
  <c r="AA27" i="7" s="1"/>
  <c r="AC27" i="7"/>
  <c r="Y29" i="7" l="1"/>
  <c r="Z28" i="7"/>
  <c r="AA28" i="7" s="1"/>
  <c r="AC28" i="7"/>
  <c r="Z29" i="7" l="1"/>
  <c r="AA29" i="7" s="1"/>
  <c r="AA30" i="7" s="1"/>
  <c r="AC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</author>
  </authors>
  <commentList>
    <comment ref="D30" authorId="0" shapeId="0" xr:uid="{B744F0ED-9CD5-46D7-A9D5-32CB6C72B3B2}">
      <text>
        <r>
          <rPr>
            <sz val="9"/>
            <color indexed="81"/>
            <rFont val="Tahoma"/>
            <family val="2"/>
          </rPr>
          <t xml:space="preserve">We reduced it by 2 yrs as we do not want to take risk by redeeming funds at the last minute
</t>
        </r>
      </text>
    </comment>
    <comment ref="D32" authorId="0" shapeId="0" xr:uid="{719F9090-CCEA-425A-B7DB-84CDED9E66AC}">
      <text>
        <r>
          <rPr>
            <b/>
            <sz val="9"/>
            <color indexed="81"/>
            <rFont val="Tahoma"/>
            <family val="2"/>
          </rPr>
          <t xml:space="preserve">Assumption:
</t>
        </r>
        <r>
          <rPr>
            <sz val="9"/>
            <color indexed="81"/>
            <rFont val="Tahoma"/>
            <family val="2"/>
          </rPr>
          <t>Considering inflation @7%</t>
        </r>
      </text>
    </comment>
    <comment ref="D64" authorId="0" shapeId="0" xr:uid="{830471C7-B4C7-44D9-BF06-8147F90746CE}">
      <text>
        <r>
          <rPr>
            <sz val="9"/>
            <color indexed="81"/>
            <rFont val="Tahoma"/>
            <family val="2"/>
          </rPr>
          <t xml:space="preserve">We reduced it by 2 yrs as we do not want to take risk by redeeming funds at the last minute
</t>
        </r>
      </text>
    </comment>
    <comment ref="D66" authorId="0" shapeId="0" xr:uid="{FBEC44B6-E66A-48F4-BF79-DC94BEE95DA6}">
      <text>
        <r>
          <rPr>
            <b/>
            <sz val="9"/>
            <color indexed="81"/>
            <rFont val="Tahoma"/>
            <family val="2"/>
          </rPr>
          <t xml:space="preserve">Assumption:
</t>
        </r>
        <r>
          <rPr>
            <sz val="9"/>
            <color indexed="81"/>
            <rFont val="Tahoma"/>
            <family val="2"/>
          </rPr>
          <t>Considering inflation @7%</t>
        </r>
      </text>
    </comment>
    <comment ref="D97" authorId="0" shapeId="0" xr:uid="{4178CE5E-EED3-4B8D-904C-EA70F4E3E223}">
      <text>
        <r>
          <rPr>
            <b/>
            <sz val="9"/>
            <color indexed="81"/>
            <rFont val="Tahoma"/>
            <family val="2"/>
          </rPr>
          <t xml:space="preserve">Assumption:
</t>
        </r>
        <r>
          <rPr>
            <sz val="9"/>
            <color indexed="81"/>
            <rFont val="Tahoma"/>
            <family val="2"/>
          </rPr>
          <t>Considering inflation @8%</t>
        </r>
      </text>
    </comment>
    <comment ref="D108" authorId="0" shapeId="0" xr:uid="{23918116-BDE1-4CD7-87E8-58624BC9B13E}">
      <text>
        <r>
          <rPr>
            <sz val="9"/>
            <color indexed="81"/>
            <rFont val="Tahoma"/>
            <family val="2"/>
          </rPr>
          <t xml:space="preserve">Assumption:
For the first year only, later amount will be increased with the increase with disposable income. Break down mentioned in </t>
        </r>
        <r>
          <rPr>
            <b/>
            <sz val="9"/>
            <color indexed="81"/>
            <rFont val="Tahoma"/>
            <family val="2"/>
          </rPr>
          <t>Salary Projection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</author>
  </authors>
  <commentList>
    <comment ref="W21" authorId="0" shapeId="0" xr:uid="{D6322C99-E851-4CBB-B7C0-040A48106000}">
      <text>
        <r>
          <rPr>
            <sz val="9"/>
            <color indexed="81"/>
            <rFont val="Tahoma"/>
            <family val="2"/>
          </rPr>
          <t xml:space="preserve">Amount Varies here, because of calculation method used. Compounding done here is </t>
        </r>
        <r>
          <rPr>
            <b/>
            <sz val="9"/>
            <color indexed="81"/>
            <rFont val="Tahoma"/>
            <family val="2"/>
          </rPr>
          <t>yearly basis</t>
        </r>
      </text>
    </comment>
    <comment ref="AA30" authorId="0" shapeId="0" xr:uid="{484CBF8B-5E42-412C-A184-26BF2293F1C7}">
      <text>
        <r>
          <rPr>
            <sz val="9"/>
            <color indexed="81"/>
            <rFont val="Tahoma"/>
            <family val="2"/>
          </rPr>
          <t xml:space="preserve">Amount Varies here, because of calculation method used. Compounding done here is </t>
        </r>
        <r>
          <rPr>
            <b/>
            <sz val="9"/>
            <color indexed="81"/>
            <rFont val="Tahoma"/>
            <family val="2"/>
          </rPr>
          <t>yearly basis</t>
        </r>
      </text>
    </comment>
  </commentList>
</comments>
</file>

<file path=xl/sharedStrings.xml><?xml version="1.0" encoding="utf-8"?>
<sst xmlns="http://schemas.openxmlformats.org/spreadsheetml/2006/main" count="203" uniqueCount="132">
  <si>
    <t>Mr. Peter is 30 yrs old.</t>
  </si>
  <si>
    <t>With Earning of Rs 1 Lac per month.</t>
  </si>
  <si>
    <t>Monthly expense Rs 40 k</t>
  </si>
  <si>
    <t>EMI are 30 k pm.</t>
  </si>
  <si>
    <t>Total Expense - 70 k pm</t>
  </si>
  <si>
    <t>Mr Peter has son who is 2 yrs old and he wanted to plan for education, marriage and house purchase !!</t>
  </si>
  <si>
    <t>He has a health insurance of floater policy 3 lac including wife and son.</t>
  </si>
  <si>
    <t xml:space="preserve"> He has a Term plan for 50 lac.</t>
  </si>
  <si>
    <t>He wants to plan for :</t>
  </si>
  <si>
    <t>Child Education- PV - 20 lacs</t>
  </si>
  <si>
    <t>Marriage Planning -PV-20 lac</t>
  </si>
  <si>
    <t>Buying a House-  PV -70 lac ( 10 years down the line)</t>
  </si>
  <si>
    <t>Pl construct a Dummy plan for him to help him achieve his financial goals!!</t>
  </si>
  <si>
    <t>Date of commencement</t>
  </si>
  <si>
    <t>Time frame</t>
  </si>
  <si>
    <t>Goals to achieve</t>
  </si>
  <si>
    <t>Present coverage</t>
  </si>
  <si>
    <t>Recommended</t>
  </si>
  <si>
    <t>Health Insurance cover</t>
  </si>
  <si>
    <t>Disability Income rider</t>
  </si>
  <si>
    <t>Term Plan</t>
  </si>
  <si>
    <t>Funds required at age</t>
  </si>
  <si>
    <t>Present Value taken</t>
  </si>
  <si>
    <t>Recommended Monthly SIP's in MF Equity fund</t>
  </si>
  <si>
    <t>Amount p.m</t>
  </si>
  <si>
    <t>SIP Date</t>
  </si>
  <si>
    <t xml:space="preserve">Date of Commencement </t>
  </si>
  <si>
    <t>Clients Name</t>
  </si>
  <si>
    <t>Financial Assesment Report</t>
  </si>
  <si>
    <t xml:space="preserve">Risk Protection Planning </t>
  </si>
  <si>
    <t>Education Planning for kid</t>
  </si>
  <si>
    <t>Targeted Amount</t>
  </si>
  <si>
    <t>Scheme Name</t>
  </si>
  <si>
    <t>Monthly SIP pm &gt;&gt;&gt;</t>
  </si>
  <si>
    <t>Return Expectation CAGR</t>
  </si>
  <si>
    <t>Liquid Fund/Bank FD Rate</t>
  </si>
  <si>
    <t>Requirement</t>
  </si>
  <si>
    <t>Present Value</t>
  </si>
  <si>
    <t>Inflation</t>
  </si>
  <si>
    <t>Duration</t>
  </si>
  <si>
    <t>Future Values of Corpus Required</t>
  </si>
  <si>
    <t>Investment Plan</t>
  </si>
  <si>
    <t>SIP amount</t>
  </si>
  <si>
    <t>Annual return</t>
  </si>
  <si>
    <t>Total Months</t>
  </si>
  <si>
    <t>Monthly return</t>
  </si>
  <si>
    <t>Future Value of Investment</t>
  </si>
  <si>
    <t>Total Invested</t>
  </si>
  <si>
    <t>Wealth Gained</t>
  </si>
  <si>
    <t>*Note (if any)</t>
  </si>
  <si>
    <t>Child's Present Age</t>
  </si>
  <si>
    <t>Time left for Investment to achieve goal</t>
  </si>
  <si>
    <t>Maturity value of SIPs</t>
  </si>
  <si>
    <t>Plans</t>
  </si>
  <si>
    <t>Re-invested Amount</t>
  </si>
  <si>
    <t>Total Maturity Amount</t>
  </si>
  <si>
    <t>Mr. Peter</t>
  </si>
  <si>
    <t>Clients Age</t>
  </si>
  <si>
    <t>Marriage Planning</t>
  </si>
  <si>
    <t>Child Education</t>
  </si>
  <si>
    <t>Buying a House</t>
  </si>
  <si>
    <t>Marriage Planning for kid</t>
  </si>
  <si>
    <t>Buying House</t>
  </si>
  <si>
    <t>House</t>
  </si>
  <si>
    <t>Education</t>
  </si>
  <si>
    <t>Marriage</t>
  </si>
  <si>
    <t>SIP return Calculator</t>
  </si>
  <si>
    <t xml:space="preserve">Time left to reach Goal </t>
  </si>
  <si>
    <t>Fundamentals</t>
  </si>
  <si>
    <t>Returns</t>
  </si>
  <si>
    <t>Risk/Rating</t>
  </si>
  <si>
    <t>Preference</t>
  </si>
  <si>
    <t>Weightage</t>
  </si>
  <si>
    <t>AuM (Cr)</t>
  </si>
  <si>
    <t>3Y</t>
  </si>
  <si>
    <t>5Y</t>
  </si>
  <si>
    <t>10Y</t>
  </si>
  <si>
    <t>Beta</t>
  </si>
  <si>
    <t>Sharpe Ratio</t>
  </si>
  <si>
    <t>MC star Rating</t>
  </si>
  <si>
    <t>Large Cap</t>
  </si>
  <si>
    <t>Nippon India Large Cap Fund - Growth</t>
  </si>
  <si>
    <t>ICICI Prudential Bluechip Fund - Growth</t>
  </si>
  <si>
    <t>1st Preference</t>
  </si>
  <si>
    <t>HDFC Large Cap Fund - Growth</t>
  </si>
  <si>
    <t>2nd Preference</t>
  </si>
  <si>
    <t>3rd Preference</t>
  </si>
  <si>
    <t>Mid Cap</t>
  </si>
  <si>
    <t>Motilal Oswal Midcap Fund - Growth</t>
  </si>
  <si>
    <t>Nippon India Growth Fund - Growth</t>
  </si>
  <si>
    <t>HDFC Mid-Cap Opportunities Fund - Growth</t>
  </si>
  <si>
    <t>Small Cap</t>
  </si>
  <si>
    <t>Bandhan Small Cap Fund - Regular Plan - Growth</t>
  </si>
  <si>
    <t>-</t>
  </si>
  <si>
    <t>Axis Small Cap Fund - Growth</t>
  </si>
  <si>
    <t>Nippon India Small Cap Fund - Growth</t>
  </si>
  <si>
    <t>ELSS</t>
  </si>
  <si>
    <t>SBI Long Term Equity Fund - Regular Plan - Growth</t>
  </si>
  <si>
    <t>DSP ELSS Tax Saver Fund - Regular Plan - Growth</t>
  </si>
  <si>
    <t>HDFC ELSS Tax saver - Growth</t>
  </si>
  <si>
    <t>As per Goal</t>
  </si>
  <si>
    <t>Year</t>
  </si>
  <si>
    <t>salary</t>
  </si>
  <si>
    <t>Expenses</t>
  </si>
  <si>
    <t>Expected salary hike</t>
  </si>
  <si>
    <t>Expected inc. in expense</t>
  </si>
  <si>
    <t>EMI</t>
  </si>
  <si>
    <t>% inc in Disposable income</t>
  </si>
  <si>
    <t>FV</t>
  </si>
  <si>
    <t>CAGR</t>
  </si>
  <si>
    <t>Present Value of Targeted Amount</t>
  </si>
  <si>
    <t>Assumptions</t>
  </si>
  <si>
    <t>Inflation for Education</t>
  </si>
  <si>
    <t>Inflation for Marriage</t>
  </si>
  <si>
    <t>Inflation for House</t>
  </si>
  <si>
    <t>CAGR for Education</t>
  </si>
  <si>
    <t>CAGR for House</t>
  </si>
  <si>
    <t>CAGR for Marriage</t>
  </si>
  <si>
    <t>SIP step-up for House</t>
  </si>
  <si>
    <t>Annual Amount</t>
  </si>
  <si>
    <t>Disposable Income before Investment</t>
  </si>
  <si>
    <t>Percent of Disposable income before investment</t>
  </si>
  <si>
    <t>Income Left After Investment (pm)</t>
  </si>
  <si>
    <t>In Salary Projection Sheet</t>
  </si>
  <si>
    <t xml:space="preserve"> </t>
  </si>
  <si>
    <t>Maturity Amount</t>
  </si>
  <si>
    <t>Step-up %</t>
  </si>
  <si>
    <t>Top-up</t>
  </si>
  <si>
    <t>Note: Step-up @~25%</t>
  </si>
  <si>
    <t>1cr</t>
  </si>
  <si>
    <t>NA</t>
  </si>
  <si>
    <t>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</si>
</sst>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₹&quot;\ #,##0.00;&quot;₹&quot;\ \-#,##0.00"/>
    <numFmt numFmtId="164" formatCode="#,##0.0"/>
    <numFmt numFmtId="165" formatCode="0&quot; yrs&quot;"/>
    <numFmt numFmtId="166" formatCode="0.0%"/>
    <numFmt numFmtId="167" formatCode="&quot;₹&quot;\ #,##0.0;&quot;₹&quot;\ \-#,##0.0"/>
    <numFmt numFmtId="168" formatCode="0\ &quot;yrs&quot;"/>
  </numFmts>
  <fonts count="2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</font>
    <font>
      <sz val="11"/>
      <color rgb="FF0070C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12"/>
      <color theme="0"/>
      <name val="Aptos Narrow"/>
      <family val="2"/>
      <scheme val="minor"/>
    </font>
    <font>
      <b/>
      <sz val="18"/>
      <color theme="0"/>
      <name val="Calibri"/>
      <family val="2"/>
    </font>
    <font>
      <u/>
      <sz val="11"/>
      <color theme="10"/>
      <name val="Calibri"/>
      <family val="2"/>
    </font>
    <font>
      <b/>
      <sz val="11"/>
      <color rgb="FF0070C0"/>
      <name val="Calibri"/>
      <family val="2"/>
    </font>
    <font>
      <b/>
      <sz val="2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/>
      <diagonal/>
    </border>
    <border>
      <left style="medium">
        <color auto="1"/>
      </left>
      <right/>
      <top/>
      <bottom style="thin">
        <color theme="0" tint="-0.499984740745262"/>
      </bottom>
      <diagonal/>
    </border>
    <border>
      <left/>
      <right/>
      <top/>
      <bottom style="medium">
        <color theme="5" tint="0.59996337778862885"/>
      </bottom>
      <diagonal/>
    </border>
    <border>
      <left/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/>
      <top/>
      <bottom style="medium">
        <color theme="1" tint="0.24994659260841701"/>
      </bottom>
      <diagonal/>
    </border>
    <border>
      <left style="medium">
        <color auto="1"/>
      </left>
      <right/>
      <top/>
      <bottom style="medium">
        <color theme="5" tint="0.59996337778862885"/>
      </bottom>
      <diagonal/>
    </border>
    <border>
      <left/>
      <right style="medium">
        <color auto="1"/>
      </right>
      <top/>
      <bottom style="medium">
        <color theme="5" tint="0.59996337778862885"/>
      </bottom>
      <diagonal/>
    </border>
    <border>
      <left style="medium">
        <color auto="1"/>
      </left>
      <right/>
      <top/>
      <bottom style="medium">
        <color theme="5" tint="-0.24994659260841701"/>
      </bottom>
      <diagonal/>
    </border>
    <border>
      <left/>
      <right style="medium">
        <color auto="1"/>
      </right>
      <top/>
      <bottom style="medium">
        <color theme="5" tint="-0.24994659260841701"/>
      </bottom>
      <diagonal/>
    </border>
    <border>
      <left style="medium">
        <color auto="1"/>
      </left>
      <right/>
      <top style="medium">
        <color theme="5" tint="-0.24994659260841701"/>
      </top>
      <bottom/>
      <diagonal/>
    </border>
    <border>
      <left style="medium">
        <color auto="1"/>
      </left>
      <right/>
      <top/>
      <bottom style="medium">
        <color theme="1" tint="0.24994659260841701"/>
      </bottom>
      <diagonal/>
    </border>
    <border>
      <left/>
      <right style="medium">
        <color auto="1"/>
      </right>
      <top/>
      <bottom style="medium">
        <color theme="1" tint="0.24994659260841701"/>
      </bottom>
      <diagonal/>
    </border>
    <border>
      <left style="medium">
        <color auto="1"/>
      </left>
      <right/>
      <top/>
      <bottom style="medium">
        <color theme="5" tint="-0.499984740745262"/>
      </bottom>
      <diagonal/>
    </border>
    <border>
      <left/>
      <right style="medium">
        <color auto="1"/>
      </right>
      <top/>
      <bottom style="medium">
        <color theme="5" tint="-0.499984740745262"/>
      </bottom>
      <diagonal/>
    </border>
    <border>
      <left style="medium">
        <color auto="1"/>
      </left>
      <right/>
      <top style="medium">
        <color theme="5" tint="-0.499984740745262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5" tint="-0.499984740745262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5" tint="0.59996337778862885"/>
      </bottom>
      <diagonal/>
    </border>
    <border>
      <left style="medium">
        <color theme="1"/>
      </left>
      <right style="medium">
        <color theme="1"/>
      </right>
      <top/>
      <bottom style="medium">
        <color theme="5" tint="-0.24994659260841701"/>
      </bottom>
      <diagonal/>
    </border>
    <border>
      <left style="medium">
        <color theme="1"/>
      </left>
      <right style="medium">
        <color theme="1"/>
      </right>
      <top/>
      <bottom style="medium">
        <color theme="1" tint="0.2499465926084170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5" fillId="0" borderId="0"/>
    <xf numFmtId="0" fontId="22" fillId="0" borderId="0" applyNumberFormat="0" applyFill="0" applyBorder="0" applyAlignment="0" applyProtection="0"/>
  </cellStyleXfs>
  <cellXfs count="237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3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164" fontId="3" fillId="0" borderId="0" xfId="0" applyNumberFormat="1" applyFont="1"/>
    <xf numFmtId="164" fontId="0" fillId="0" borderId="0" xfId="0" applyNumberFormat="1"/>
    <xf numFmtId="165" fontId="0" fillId="2" borderId="0" xfId="0" applyNumberFormat="1" applyFill="1"/>
    <xf numFmtId="9" fontId="0" fillId="0" borderId="0" xfId="0" applyNumberFormat="1"/>
    <xf numFmtId="166" fontId="0" fillId="0" borderId="0" xfId="1" applyNumberFormat="1" applyFont="1"/>
    <xf numFmtId="0" fontId="0" fillId="3" borderId="0" xfId="0" applyFill="1" applyAlignment="1">
      <alignment horizontal="center"/>
    </xf>
    <xf numFmtId="9" fontId="8" fillId="3" borderId="0" xfId="0" applyNumberFormat="1" applyFont="1" applyFill="1"/>
    <xf numFmtId="168" fontId="0" fillId="5" borderId="0" xfId="0" applyNumberFormat="1" applyFill="1"/>
    <xf numFmtId="0" fontId="0" fillId="5" borderId="0" xfId="0" applyFill="1" applyAlignment="1">
      <alignment horizontal="right"/>
    </xf>
    <xf numFmtId="0" fontId="0" fillId="5" borderId="0" xfId="0" applyFill="1"/>
    <xf numFmtId="0" fontId="0" fillId="5" borderId="2" xfId="0" applyFill="1" applyBorder="1" applyAlignment="1">
      <alignment horizontal="right"/>
    </xf>
    <xf numFmtId="0" fontId="16" fillId="0" borderId="0" xfId="3" applyFont="1"/>
    <xf numFmtId="0" fontId="15" fillId="0" borderId="0" xfId="3"/>
    <xf numFmtId="0" fontId="19" fillId="3" borderId="0" xfId="3" applyFont="1" applyFill="1" applyAlignment="1">
      <alignment vertical="center"/>
    </xf>
    <xf numFmtId="0" fontId="19" fillId="3" borderId="0" xfId="3" applyFont="1" applyFill="1" applyAlignment="1">
      <alignment horizontal="right" vertical="center"/>
    </xf>
    <xf numFmtId="0" fontId="19" fillId="3" borderId="6" xfId="3" applyFont="1" applyFill="1" applyBorder="1" applyAlignment="1">
      <alignment horizontal="right" vertical="center"/>
    </xf>
    <xf numFmtId="0" fontId="19" fillId="3" borderId="7" xfId="3" applyFont="1" applyFill="1" applyBorder="1" applyAlignment="1">
      <alignment horizontal="right" vertical="center"/>
    </xf>
    <xf numFmtId="4" fontId="15" fillId="0" borderId="0" xfId="3" applyNumberFormat="1"/>
    <xf numFmtId="9" fontId="15" fillId="0" borderId="6" xfId="3" applyNumberFormat="1" applyBorder="1"/>
    <xf numFmtId="9" fontId="15" fillId="0" borderId="0" xfId="3" applyNumberFormat="1"/>
    <xf numFmtId="9" fontId="15" fillId="0" borderId="7" xfId="3" applyNumberFormat="1" applyBorder="1"/>
    <xf numFmtId="0" fontId="15" fillId="0" borderId="6" xfId="3" applyBorder="1"/>
    <xf numFmtId="1" fontId="15" fillId="0" borderId="7" xfId="3" applyNumberFormat="1" applyBorder="1"/>
    <xf numFmtId="0" fontId="15" fillId="0" borderId="0" xfId="3" applyAlignment="1">
      <alignment horizontal="center"/>
    </xf>
    <xf numFmtId="0" fontId="15" fillId="0" borderId="0" xfId="3" applyAlignment="1">
      <alignment horizontal="left"/>
    </xf>
    <xf numFmtId="0" fontId="15" fillId="3" borderId="0" xfId="3" applyFill="1"/>
    <xf numFmtId="167" fontId="8" fillId="5" borderId="0" xfId="0" applyNumberFormat="1" applyFont="1" applyFill="1"/>
    <xf numFmtId="0" fontId="0" fillId="3" borderId="0" xfId="0" applyFill="1" applyAlignment="1">
      <alignment horizontal="left"/>
    </xf>
    <xf numFmtId="167" fontId="0" fillId="5" borderId="0" xfId="0" applyNumberFormat="1" applyFill="1"/>
    <xf numFmtId="0" fontId="0" fillId="5" borderId="0" xfId="0" applyFill="1" applyAlignment="1">
      <alignment horizontal="right" vertical="center"/>
    </xf>
    <xf numFmtId="9" fontId="8" fillId="0" borderId="0" xfId="0" applyNumberFormat="1" applyFont="1"/>
    <xf numFmtId="14" fontId="0" fillId="5" borderId="0" xfId="0" applyNumberFormat="1" applyFill="1" applyAlignment="1">
      <alignment horizontal="right"/>
    </xf>
    <xf numFmtId="0" fontId="14" fillId="0" borderId="0" xfId="0" applyFont="1"/>
    <xf numFmtId="0" fontId="14" fillId="0" borderId="2" xfId="0" applyFont="1" applyBorder="1"/>
    <xf numFmtId="0" fontId="14" fillId="4" borderId="0" xfId="0" applyFont="1" applyFill="1"/>
    <xf numFmtId="0" fontId="0" fillId="4" borderId="0" xfId="0" applyFill="1"/>
    <xf numFmtId="0" fontId="0" fillId="4" borderId="2" xfId="0" applyFill="1" applyBorder="1"/>
    <xf numFmtId="0" fontId="2" fillId="6" borderId="0" xfId="0" applyFont="1" applyFill="1"/>
    <xf numFmtId="0" fontId="2" fillId="6" borderId="2" xfId="0" applyFont="1" applyFill="1" applyBorder="1"/>
    <xf numFmtId="0" fontId="0" fillId="5" borderId="8" xfId="0" applyFill="1" applyBorder="1"/>
    <xf numFmtId="0" fontId="3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5" borderId="8" xfId="0" applyFont="1" applyFill="1" applyBorder="1"/>
    <xf numFmtId="0" fontId="0" fillId="3" borderId="10" xfId="0" applyFill="1" applyBorder="1"/>
    <xf numFmtId="167" fontId="0" fillId="5" borderId="10" xfId="0" applyNumberFormat="1" applyFill="1" applyBorder="1"/>
    <xf numFmtId="0" fontId="0" fillId="5" borderId="10" xfId="0" applyFill="1" applyBorder="1"/>
    <xf numFmtId="0" fontId="0" fillId="4" borderId="2" xfId="0" applyFill="1" applyBorder="1" applyAlignment="1">
      <alignment horizontal="right"/>
    </xf>
    <xf numFmtId="0" fontId="0" fillId="2" borderId="2" xfId="0" applyFill="1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3" fillId="0" borderId="0" xfId="0" applyFont="1"/>
    <xf numFmtId="0" fontId="4" fillId="0" borderId="0" xfId="0" applyFont="1"/>
    <xf numFmtId="165" fontId="0" fillId="0" borderId="0" xfId="0" applyNumberFormat="1"/>
    <xf numFmtId="0" fontId="2" fillId="0" borderId="0" xfId="0" applyFont="1"/>
    <xf numFmtId="10" fontId="0" fillId="0" borderId="0" xfId="1" applyNumberFormat="1" applyFont="1" applyFill="1"/>
    <xf numFmtId="0" fontId="0" fillId="0" borderId="0" xfId="0" applyAlignment="1">
      <alignment horizontal="center"/>
    </xf>
    <xf numFmtId="10" fontId="0" fillId="0" borderId="0" xfId="0" applyNumberFormat="1"/>
    <xf numFmtId="1" fontId="0" fillId="0" borderId="0" xfId="0" applyNumberFormat="1"/>
    <xf numFmtId="0" fontId="2" fillId="10" borderId="0" xfId="0" applyFont="1" applyFill="1"/>
    <xf numFmtId="10" fontId="0" fillId="0" borderId="0" xfId="1" applyNumberFormat="1" applyFont="1"/>
    <xf numFmtId="0" fontId="0" fillId="10" borderId="0" xfId="0" applyFill="1"/>
    <xf numFmtId="0" fontId="0" fillId="12" borderId="0" xfId="0" applyFill="1"/>
    <xf numFmtId="0" fontId="12" fillId="9" borderId="0" xfId="0" applyFont="1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right"/>
    </xf>
    <xf numFmtId="0" fontId="2" fillId="9" borderId="0" xfId="0" applyFont="1" applyFill="1"/>
    <xf numFmtId="9" fontId="0" fillId="5" borderId="0" xfId="0" applyNumberFormat="1" applyFill="1"/>
    <xf numFmtId="9" fontId="0" fillId="3" borderId="0" xfId="0" applyNumberFormat="1" applyFill="1"/>
    <xf numFmtId="9" fontId="8" fillId="2" borderId="0" xfId="0" applyNumberFormat="1" applyFont="1" applyFill="1"/>
    <xf numFmtId="0" fontId="0" fillId="0" borderId="21" xfId="0" applyBorder="1"/>
    <xf numFmtId="1" fontId="0" fillId="0" borderId="21" xfId="0" applyNumberFormat="1" applyBorder="1"/>
    <xf numFmtId="10" fontId="0" fillId="0" borderId="21" xfId="0" applyNumberFormat="1" applyBorder="1"/>
    <xf numFmtId="10" fontId="0" fillId="0" borderId="21" xfId="1" applyNumberFormat="1" applyFont="1" applyBorder="1"/>
    <xf numFmtId="0" fontId="0" fillId="10" borderId="21" xfId="0" applyFill="1" applyBorder="1"/>
    <xf numFmtId="0" fontId="0" fillId="0" borderId="22" xfId="0" applyBorder="1"/>
    <xf numFmtId="1" fontId="0" fillId="0" borderId="22" xfId="0" applyNumberFormat="1" applyBorder="1"/>
    <xf numFmtId="10" fontId="0" fillId="0" borderId="22" xfId="0" applyNumberFormat="1" applyBorder="1"/>
    <xf numFmtId="10" fontId="0" fillId="0" borderId="22" xfId="1" applyNumberFormat="1" applyFont="1" applyBorder="1"/>
    <xf numFmtId="0" fontId="0" fillId="10" borderId="22" xfId="0" applyFill="1" applyBorder="1"/>
    <xf numFmtId="0" fontId="0" fillId="0" borderId="23" xfId="0" applyBorder="1"/>
    <xf numFmtId="1" fontId="0" fillId="0" borderId="23" xfId="0" applyNumberFormat="1" applyBorder="1"/>
    <xf numFmtId="10" fontId="0" fillId="0" borderId="23" xfId="0" applyNumberFormat="1" applyBorder="1"/>
    <xf numFmtId="10" fontId="0" fillId="0" borderId="23" xfId="1" applyNumberFormat="1" applyFont="1" applyBorder="1"/>
    <xf numFmtId="0" fontId="0" fillId="10" borderId="23" xfId="0" applyFill="1" applyBorder="1"/>
    <xf numFmtId="0" fontId="24" fillId="0" borderId="0" xfId="0" applyFont="1" applyAlignment="1">
      <alignment vertical="center"/>
    </xf>
    <xf numFmtId="166" fontId="0" fillId="0" borderId="0" xfId="1" applyNumberFormat="1" applyFont="1" applyFill="1"/>
    <xf numFmtId="0" fontId="22" fillId="0" borderId="0" xfId="4" applyFill="1"/>
    <xf numFmtId="0" fontId="3" fillId="3" borderId="9" xfId="0" applyFont="1" applyFill="1" applyBorder="1" applyAlignment="1">
      <alignment vertical="center" wrapText="1"/>
    </xf>
    <xf numFmtId="0" fontId="8" fillId="0" borderId="0" xfId="0" applyFont="1"/>
    <xf numFmtId="0" fontId="23" fillId="13" borderId="0" xfId="0" applyFont="1" applyFill="1"/>
    <xf numFmtId="0" fontId="3" fillId="13" borderId="0" xfId="0" applyFont="1" applyFill="1"/>
    <xf numFmtId="0" fontId="3" fillId="13" borderId="21" xfId="0" applyFont="1" applyFill="1" applyBorder="1"/>
    <xf numFmtId="0" fontId="3" fillId="13" borderId="22" xfId="0" applyFont="1" applyFill="1" applyBorder="1"/>
    <xf numFmtId="0" fontId="3" fillId="13" borderId="23" xfId="0" applyFont="1" applyFill="1" applyBorder="1"/>
    <xf numFmtId="0" fontId="3" fillId="13" borderId="26" xfId="0" applyFont="1" applyFill="1" applyBorder="1"/>
    <xf numFmtId="1" fontId="0" fillId="0" borderId="26" xfId="0" applyNumberFormat="1" applyBorder="1"/>
    <xf numFmtId="10" fontId="0" fillId="0" borderId="26" xfId="0" applyNumberFormat="1" applyBorder="1"/>
    <xf numFmtId="0" fontId="0" fillId="0" borderId="26" xfId="0" applyBorder="1"/>
    <xf numFmtId="10" fontId="0" fillId="0" borderId="26" xfId="1" applyNumberFormat="1" applyFont="1" applyBorder="1"/>
    <xf numFmtId="0" fontId="0" fillId="10" borderId="26" xfId="0" applyFill="1" applyBorder="1"/>
    <xf numFmtId="168" fontId="8" fillId="5" borderId="0" xfId="0" applyNumberFormat="1" applyFont="1" applyFill="1"/>
    <xf numFmtId="0" fontId="8" fillId="5" borderId="0" xfId="0" applyFont="1" applyFill="1" applyAlignment="1">
      <alignment horizontal="right"/>
    </xf>
    <xf numFmtId="14" fontId="8" fillId="5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right" vertical="center"/>
    </xf>
    <xf numFmtId="0" fontId="22" fillId="3" borderId="8" xfId="4" applyFill="1" applyBorder="1"/>
    <xf numFmtId="14" fontId="0" fillId="5" borderId="0" xfId="0" applyNumberFormat="1" applyFill="1" applyAlignment="1">
      <alignment horizontal="right" vertical="center"/>
    </xf>
    <xf numFmtId="1" fontId="3" fillId="5" borderId="8" xfId="0" applyNumberFormat="1" applyFont="1" applyFill="1" applyBorder="1"/>
    <xf numFmtId="1" fontId="8" fillId="5" borderId="0" xfId="0" applyNumberFormat="1" applyFont="1" applyFill="1" applyAlignment="1">
      <alignment horizontal="right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1" xfId="0" applyFill="1" applyBorder="1"/>
    <xf numFmtId="1" fontId="0" fillId="0" borderId="2" xfId="0" applyNumberFormat="1" applyBorder="1"/>
    <xf numFmtId="1" fontId="0" fillId="0" borderId="1" xfId="0" applyNumberFormat="1" applyBorder="1"/>
    <xf numFmtId="1" fontId="0" fillId="0" borderId="27" xfId="0" applyNumberFormat="1" applyBorder="1"/>
    <xf numFmtId="1" fontId="0" fillId="0" borderId="28" xfId="0" applyNumberFormat="1" applyBorder="1"/>
    <xf numFmtId="1" fontId="0" fillId="0" borderId="29" xfId="0" applyNumberFormat="1" applyBorder="1"/>
    <xf numFmtId="1" fontId="0" fillId="0" borderId="30" xfId="0" applyNumberFormat="1" applyBorder="1"/>
    <xf numFmtId="1" fontId="3" fillId="13" borderId="2" xfId="0" applyNumberFormat="1" applyFont="1" applyFill="1" applyBorder="1"/>
    <xf numFmtId="0" fontId="0" fillId="0" borderId="27" xfId="0" applyBorder="1"/>
    <xf numFmtId="0" fontId="0" fillId="0" borderId="29" xfId="0" applyBorder="1"/>
    <xf numFmtId="0" fontId="0" fillId="0" borderId="32" xfId="0" applyBorder="1"/>
    <xf numFmtId="1" fontId="0" fillId="0" borderId="33" xfId="0" applyNumberFormat="1" applyBorder="1"/>
    <xf numFmtId="0" fontId="0" fillId="0" borderId="34" xfId="0" applyBorder="1"/>
    <xf numFmtId="1" fontId="0" fillId="0" borderId="35" xfId="0" applyNumberFormat="1" applyBorder="1"/>
    <xf numFmtId="0" fontId="0" fillId="0" borderId="38" xfId="0" applyBorder="1"/>
    <xf numFmtId="1" fontId="0" fillId="0" borderId="38" xfId="0" applyNumberFormat="1" applyBorder="1"/>
    <xf numFmtId="1" fontId="0" fillId="0" borderId="39" xfId="0" applyNumberFormat="1" applyBorder="1"/>
    <xf numFmtId="1" fontId="0" fillId="0" borderId="40" xfId="0" applyNumberFormat="1" applyBorder="1"/>
    <xf numFmtId="1" fontId="0" fillId="0" borderId="41" xfId="0" applyNumberFormat="1" applyBorder="1"/>
    <xf numFmtId="1" fontId="0" fillId="0" borderId="37" xfId="0" applyNumberFormat="1" applyBorder="1"/>
    <xf numFmtId="0" fontId="15" fillId="10" borderId="0" xfId="3" applyFill="1"/>
    <xf numFmtId="0" fontId="17" fillId="10" borderId="0" xfId="3" applyFont="1" applyFill="1"/>
    <xf numFmtId="4" fontId="15" fillId="10" borderId="0" xfId="3" applyNumberFormat="1" applyFill="1"/>
    <xf numFmtId="9" fontId="15" fillId="10" borderId="6" xfId="3" applyNumberFormat="1" applyFill="1" applyBorder="1"/>
    <xf numFmtId="9" fontId="15" fillId="10" borderId="0" xfId="3" applyNumberFormat="1" applyFill="1"/>
    <xf numFmtId="9" fontId="15" fillId="10" borderId="7" xfId="3" applyNumberFormat="1" applyFill="1" applyBorder="1"/>
    <xf numFmtId="0" fontId="15" fillId="10" borderId="6" xfId="3" applyFill="1" applyBorder="1"/>
    <xf numFmtId="1" fontId="15" fillId="10" borderId="7" xfId="3" applyNumberFormat="1" applyFill="1" applyBorder="1"/>
    <xf numFmtId="0" fontId="15" fillId="10" borderId="0" xfId="3" applyFill="1" applyAlignment="1">
      <alignment horizontal="center"/>
    </xf>
    <xf numFmtId="0" fontId="15" fillId="10" borderId="7" xfId="3" applyFill="1" applyBorder="1"/>
    <xf numFmtId="0" fontId="0" fillId="14" borderId="1" xfId="0" applyFill="1" applyBorder="1"/>
    <xf numFmtId="0" fontId="0" fillId="14" borderId="0" xfId="0" applyFill="1"/>
    <xf numFmtId="0" fontId="0" fillId="14" borderId="2" xfId="0" applyFill="1" applyBorder="1"/>
    <xf numFmtId="0" fontId="0" fillId="14" borderId="11" xfId="0" applyFill="1" applyBorder="1"/>
    <xf numFmtId="0" fontId="0" fillId="14" borderId="12" xfId="0" applyFill="1" applyBorder="1"/>
    <xf numFmtId="0" fontId="0" fillId="14" borderId="13" xfId="0" applyFill="1" applyBorder="1"/>
    <xf numFmtId="0" fontId="13" fillId="14" borderId="0" xfId="0" applyFont="1" applyFill="1"/>
    <xf numFmtId="0" fontId="4" fillId="14" borderId="0" xfId="0" applyFont="1" applyFill="1"/>
    <xf numFmtId="0" fontId="11" fillId="14" borderId="0" xfId="0" applyFont="1" applyFill="1" applyAlignment="1">
      <alignment horizontal="center" vertical="center"/>
    </xf>
    <xf numFmtId="0" fontId="2" fillId="14" borderId="0" xfId="0" applyFont="1" applyFill="1"/>
    <xf numFmtId="0" fontId="2" fillId="14" borderId="0" xfId="0" applyFont="1" applyFill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8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1" fillId="14" borderId="14" xfId="0" applyFont="1" applyFill="1" applyBorder="1" applyAlignment="1">
      <alignment horizontal="left" vertical="center"/>
    </xf>
    <xf numFmtId="0" fontId="21" fillId="14" borderId="8" xfId="0" applyFont="1" applyFill="1" applyBorder="1" applyAlignment="1">
      <alignment horizontal="left" vertical="center"/>
    </xf>
    <xf numFmtId="0" fontId="21" fillId="14" borderId="15" xfId="0" applyFont="1" applyFill="1" applyBorder="1" applyAlignment="1">
      <alignment horizontal="left" vertical="center"/>
    </xf>
    <xf numFmtId="0" fontId="21" fillId="14" borderId="6" xfId="0" applyFont="1" applyFill="1" applyBorder="1" applyAlignment="1">
      <alignment horizontal="left" vertical="center"/>
    </xf>
    <xf numFmtId="0" fontId="21" fillId="14" borderId="0" xfId="0" applyFont="1" applyFill="1" applyAlignment="1">
      <alignment horizontal="left" vertical="center"/>
    </xf>
    <xf numFmtId="0" fontId="21" fillId="14" borderId="7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167" fontId="0" fillId="5" borderId="0" xfId="0" applyNumberFormat="1" applyFill="1"/>
    <xf numFmtId="0" fontId="7" fillId="14" borderId="1" xfId="0" applyFont="1" applyFill="1" applyBorder="1" applyAlignment="1">
      <alignment horizontal="center" vertical="center" textRotation="90" wrapText="1"/>
    </xf>
    <xf numFmtId="0" fontId="14" fillId="4" borderId="0" xfId="0" applyFont="1" applyFill="1" applyAlignment="1">
      <alignment vertical="top" wrapText="1"/>
    </xf>
    <xf numFmtId="0" fontId="14" fillId="4" borderId="2" xfId="0" applyFont="1" applyFill="1" applyBorder="1" applyAlignment="1">
      <alignment vertical="top" wrapText="1"/>
    </xf>
    <xf numFmtId="7" fontId="11" fillId="9" borderId="0" xfId="0" applyNumberFormat="1" applyFont="1" applyFill="1"/>
    <xf numFmtId="7" fontId="11" fillId="9" borderId="2" xfId="0" applyNumberFormat="1" applyFont="1" applyFill="1" applyBorder="1"/>
    <xf numFmtId="7" fontId="21" fillId="9" borderId="0" xfId="0" applyNumberFormat="1" applyFont="1" applyFill="1"/>
    <xf numFmtId="7" fontId="21" fillId="9" borderId="2" xfId="0" applyNumberFormat="1" applyFont="1" applyFill="1" applyBorder="1"/>
    <xf numFmtId="0" fontId="8" fillId="5" borderId="0" xfId="0" applyFont="1" applyFill="1"/>
    <xf numFmtId="165" fontId="8" fillId="5" borderId="0" xfId="0" applyNumberFormat="1" applyFont="1" applyFill="1"/>
    <xf numFmtId="168" fontId="0" fillId="5" borderId="0" xfId="0" applyNumberFormat="1" applyFill="1"/>
    <xf numFmtId="0" fontId="0" fillId="3" borderId="4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top"/>
    </xf>
    <xf numFmtId="0" fontId="14" fillId="4" borderId="0" xfId="0" applyFont="1" applyFill="1" applyAlignment="1">
      <alignment horizontal="center" vertical="top"/>
    </xf>
    <xf numFmtId="0" fontId="7" fillId="14" borderId="11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textRotation="90" wrapText="1"/>
    </xf>
    <xf numFmtId="0" fontId="7" fillId="14" borderId="19" xfId="0" applyFont="1" applyFill="1" applyBorder="1" applyAlignment="1">
      <alignment horizontal="center" vertical="center" textRotation="90" wrapText="1"/>
    </xf>
    <xf numFmtId="0" fontId="7" fillId="14" borderId="20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14" borderId="0" xfId="0" applyNumberFormat="1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3" fillId="13" borderId="36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24" fillId="0" borderId="0" xfId="0" applyFont="1" applyAlignment="1">
      <alignment horizontal="left" vertical="center"/>
    </xf>
    <xf numFmtId="0" fontId="12" fillId="12" borderId="1" xfId="0" applyFont="1" applyFill="1" applyBorder="1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9" fontId="8" fillId="5" borderId="0" xfId="0" applyNumberFormat="1" applyFont="1" applyFill="1" applyAlignment="1">
      <alignment vertical="center"/>
    </xf>
    <xf numFmtId="9" fontId="8" fillId="5" borderId="2" xfId="0" applyNumberFormat="1" applyFont="1" applyFill="1" applyBorder="1" applyAlignment="1">
      <alignment vertical="center"/>
    </xf>
    <xf numFmtId="9" fontId="0" fillId="5" borderId="0" xfId="0" applyNumberFormat="1" applyFill="1" applyAlignment="1">
      <alignment vertical="center"/>
    </xf>
    <xf numFmtId="9" fontId="0" fillId="5" borderId="2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0" fontId="2" fillId="8" borderId="0" xfId="0" applyFont="1" applyFill="1" applyAlignment="1">
      <alignment horizontal="center" textRotation="90"/>
    </xf>
    <xf numFmtId="0" fontId="2" fillId="9" borderId="0" xfId="0" applyFont="1" applyFill="1" applyAlignment="1">
      <alignment horizontal="center" textRotation="90"/>
    </xf>
    <xf numFmtId="0" fontId="3" fillId="7" borderId="0" xfId="0" applyFont="1" applyFill="1" applyAlignment="1">
      <alignment horizontal="center" textRotation="90"/>
    </xf>
    <xf numFmtId="0" fontId="2" fillId="11" borderId="0" xfId="0" applyFont="1" applyFill="1" applyAlignment="1">
      <alignment horizontal="center" textRotation="90"/>
    </xf>
    <xf numFmtId="0" fontId="3" fillId="13" borderId="31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0" fontId="16" fillId="0" borderId="0" xfId="3" applyFont="1" applyAlignment="1">
      <alignment horizontal="center" vertical="center"/>
    </xf>
    <xf numFmtId="0" fontId="18" fillId="10" borderId="0" xfId="3" applyFont="1" applyFill="1" applyAlignment="1">
      <alignment horizontal="center"/>
    </xf>
    <xf numFmtId="0" fontId="18" fillId="10" borderId="6" xfId="3" applyFont="1" applyFill="1" applyBorder="1" applyAlignment="1">
      <alignment horizontal="center"/>
    </xf>
    <xf numFmtId="0" fontId="18" fillId="10" borderId="7" xfId="3" applyFont="1" applyFill="1" applyBorder="1" applyAlignment="1">
      <alignment horizontal="center"/>
    </xf>
    <xf numFmtId="0" fontId="18" fillId="10" borderId="0" xfId="3" applyFont="1" applyFill="1" applyAlignment="1">
      <alignment horizontal="center" vertical="center" wrapText="1"/>
    </xf>
    <xf numFmtId="0" fontId="19" fillId="3" borderId="0" xfId="3" applyFont="1" applyFill="1" applyAlignment="1">
      <alignment horizontal="center" vertical="center"/>
    </xf>
    <xf numFmtId="0" fontId="20" fillId="10" borderId="0" xfId="3" applyFont="1" applyFill="1" applyAlignment="1">
      <alignment horizontal="center" vertical="center"/>
    </xf>
  </cellXfs>
  <cellStyles count="5">
    <cellStyle name="Excel Built-in Normal" xfId="2" xr:uid="{21DBAE57-849A-4366-A122-F8DC66F41B76}"/>
    <cellStyle name="Hyperlink" xfId="4" builtinId="8"/>
    <cellStyle name="Normal" xfId="0" builtinId="0"/>
    <cellStyle name="Normal 2" xfId="3" xr:uid="{A7BE7B0B-104E-4696-A62A-B28320C7A31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2154767</xdr:colOff>
      <xdr:row>1</xdr:row>
      <xdr:rowOff>125012</xdr:rowOff>
    </xdr:from>
    <xdr:to>
      <xdr:col>4</xdr:col>
      <xdr:colOff>622906</xdr:colOff>
      <xdr:row>3</xdr:row>
      <xdr:rowOff>169005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F408A-6DFA-6C0A-61F8-75CC28B5D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1" t="41333" r="2222" b="40444"/>
        <a:stretch>
          <a:fillRect/>
        </a:stretch>
      </xdr:blipFill>
      <xdr:spPr>
        <a:xfrm>
          <a:off x="3140529" y="318536"/>
          <a:ext cx="2096710" cy="406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158750</xdr:rowOff>
    </xdr:from>
    <xdr:to>
      <xdr:col>2</xdr:col>
      <xdr:colOff>133350</xdr:colOff>
      <xdr:row>3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2235A0-FAFD-464F-9447-BA9EC8BBF1A7}"/>
            </a:ext>
          </a:extLst>
        </xdr:cNvPr>
        <xdr:cNvSpPr/>
      </xdr:nvSpPr>
      <xdr:spPr>
        <a:xfrm>
          <a:off x="152400" y="158750"/>
          <a:ext cx="1492250" cy="43815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50800</xdr:colOff>
      <xdr:row>0</xdr:row>
      <xdr:rowOff>76200</xdr:rowOff>
    </xdr:from>
    <xdr:to>
      <xdr:col>12</xdr:col>
      <xdr:colOff>0</xdr:colOff>
      <xdr:row>3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9787A79-1661-4B77-BA28-1C266F86559A}"/>
            </a:ext>
          </a:extLst>
        </xdr:cNvPr>
        <xdr:cNvSpPr/>
      </xdr:nvSpPr>
      <xdr:spPr>
        <a:xfrm>
          <a:off x="1562100" y="76200"/>
          <a:ext cx="7766050" cy="577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rgbClr val="FF0000"/>
              </a:solidFill>
              <a:latin typeface="+mj-lt"/>
            </a:rPr>
            <a:t>|</a:t>
          </a:r>
          <a:r>
            <a:rPr lang="en-IN" sz="2400" b="1">
              <a:solidFill>
                <a:srgbClr val="FF0000"/>
              </a:solidFill>
              <a:latin typeface="+mn-lt"/>
            </a:rPr>
            <a:t> </a:t>
          </a:r>
          <a:r>
            <a:rPr lang="en-IN" sz="2000" b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Scheme</a:t>
          </a:r>
          <a:r>
            <a:rPr lang="en-IN" sz="2000" b="0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2000" b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Recommendation </a:t>
          </a:r>
          <a:r>
            <a:rPr lang="en-IN" sz="2000" b="0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IN" sz="800" b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(Source - Money Control)*</a:t>
          </a:r>
          <a:endParaRPr lang="en-IN" sz="2300" b="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13</xdr:col>
      <xdr:colOff>373530</xdr:colOff>
      <xdr:row>7</xdr:row>
      <xdr:rowOff>12448</xdr:rowOff>
    </xdr:from>
    <xdr:to>
      <xdr:col>13</xdr:col>
      <xdr:colOff>585196</xdr:colOff>
      <xdr:row>9</xdr:row>
      <xdr:rowOff>155638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FB6366-1B14-4AC4-93BD-B7259B3A5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964" t="2937" r="34726"/>
        <a:stretch>
          <a:fillRect/>
        </a:stretch>
      </xdr:blipFill>
      <xdr:spPr>
        <a:xfrm>
          <a:off x="9701680" y="1409448"/>
          <a:ext cx="211666" cy="511490"/>
        </a:xfrm>
        <a:prstGeom prst="rect">
          <a:avLst/>
        </a:prstGeom>
      </xdr:spPr>
    </xdr:pic>
    <xdr:clientData/>
  </xdr:twoCellAnchor>
  <xdr:twoCellAnchor>
    <xdr:from>
      <xdr:col>13</xdr:col>
      <xdr:colOff>311275</xdr:colOff>
      <xdr:row>6</xdr:row>
      <xdr:rowOff>161862</xdr:rowOff>
    </xdr:from>
    <xdr:to>
      <xdr:col>15</xdr:col>
      <xdr:colOff>255245</xdr:colOff>
      <xdr:row>10</xdr:row>
      <xdr:rowOff>68481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F475B2-1869-4760-9455-1FFBC34A2FE9}"/>
            </a:ext>
          </a:extLst>
        </xdr:cNvPr>
        <xdr:cNvSpPr/>
      </xdr:nvSpPr>
      <xdr:spPr>
        <a:xfrm>
          <a:off x="9639425" y="1374712"/>
          <a:ext cx="1252070" cy="643219"/>
        </a:xfrm>
        <a:prstGeom prst="rect">
          <a:avLst/>
        </a:prstGeom>
        <a:noFill/>
        <a:ln w="76200"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2A3D-BBE6-4596-A4CB-616C7D2B1685}">
  <dimension ref="B3:O23"/>
  <sheetViews>
    <sheetView showGridLines="0" tabSelected="1" workbookViewId="0">
      <selection activeCell="B3" sqref="B3:O4"/>
    </sheetView>
  </sheetViews>
  <sheetFormatPr defaultRowHeight="14.5" x14ac:dyDescent="0.35"/>
  <cols>
    <col min="1" max="1" width="1.81640625" customWidth="1"/>
    <col min="12" max="12" width="4.6328125" customWidth="1"/>
    <col min="13" max="15" width="8.7265625" hidden="1" customWidth="1"/>
  </cols>
  <sheetData>
    <row r="3" spans="2:15" ht="23.5" customHeight="1" x14ac:dyDescent="0.35">
      <c r="B3" s="173" t="s">
        <v>131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5"/>
    </row>
    <row r="4" spans="2:15" x14ac:dyDescent="0.35"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8"/>
    </row>
    <row r="5" spans="2:15" x14ac:dyDescent="0.35">
      <c r="B5" s="62" t="s">
        <v>0</v>
      </c>
      <c r="O5" s="63"/>
    </row>
    <row r="6" spans="2:15" x14ac:dyDescent="0.35">
      <c r="B6" s="62" t="s">
        <v>1</v>
      </c>
      <c r="O6" s="63"/>
    </row>
    <row r="7" spans="2:15" x14ac:dyDescent="0.35">
      <c r="B7" s="62" t="s">
        <v>2</v>
      </c>
      <c r="O7" s="63"/>
    </row>
    <row r="8" spans="2:15" x14ac:dyDescent="0.35">
      <c r="B8" s="62" t="s">
        <v>3</v>
      </c>
      <c r="O8" s="63"/>
    </row>
    <row r="9" spans="2:15" x14ac:dyDescent="0.35">
      <c r="B9" s="62" t="s">
        <v>4</v>
      </c>
      <c r="O9" s="63"/>
    </row>
    <row r="10" spans="2:15" x14ac:dyDescent="0.35">
      <c r="B10" s="62"/>
      <c r="O10" s="63"/>
    </row>
    <row r="11" spans="2:15" x14ac:dyDescent="0.35">
      <c r="B11" s="62" t="s">
        <v>5</v>
      </c>
      <c r="O11" s="63"/>
    </row>
    <row r="12" spans="2:15" x14ac:dyDescent="0.35">
      <c r="B12" s="62" t="s">
        <v>6</v>
      </c>
      <c r="O12" s="63"/>
    </row>
    <row r="13" spans="2:15" x14ac:dyDescent="0.35">
      <c r="B13" s="62" t="s">
        <v>7</v>
      </c>
      <c r="O13" s="63"/>
    </row>
    <row r="14" spans="2:15" x14ac:dyDescent="0.35">
      <c r="B14" s="62"/>
      <c r="O14" s="63"/>
    </row>
    <row r="15" spans="2:15" x14ac:dyDescent="0.35">
      <c r="B15" s="64" t="s">
        <v>8</v>
      </c>
      <c r="O15" s="63"/>
    </row>
    <row r="16" spans="2:15" x14ac:dyDescent="0.35">
      <c r="B16" s="62" t="s">
        <v>9</v>
      </c>
      <c r="O16" s="63"/>
    </row>
    <row r="17" spans="2:15" x14ac:dyDescent="0.35">
      <c r="B17" s="62" t="s">
        <v>10</v>
      </c>
      <c r="O17" s="63"/>
    </row>
    <row r="18" spans="2:15" x14ac:dyDescent="0.35">
      <c r="B18" s="62" t="s">
        <v>11</v>
      </c>
      <c r="O18" s="63"/>
    </row>
    <row r="19" spans="2:15" x14ac:dyDescent="0.35">
      <c r="B19" s="62" t="s">
        <v>12</v>
      </c>
      <c r="O19" s="63"/>
    </row>
    <row r="20" spans="2:15" x14ac:dyDescent="0.35">
      <c r="B20" s="65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/>
    </row>
    <row r="23" spans="2:15" x14ac:dyDescent="0.35">
      <c r="B23" s="1"/>
    </row>
  </sheetData>
  <mergeCells count="1">
    <mergeCell ref="B3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A5DB-FC90-4CE7-80B4-AFA0C4788CE9}">
  <dimension ref="B1:L114"/>
  <sheetViews>
    <sheetView showGridLines="0" zoomScale="74" zoomScaleNormal="51" workbookViewId="0">
      <selection activeCell="B14" sqref="B14:B22"/>
    </sheetView>
  </sheetViews>
  <sheetFormatPr defaultRowHeight="14.5" x14ac:dyDescent="0.35"/>
  <cols>
    <col min="1" max="1" width="1.81640625" customWidth="1"/>
    <col min="2" max="2" width="12.26953125" customWidth="1"/>
    <col min="3" max="3" width="34.36328125" customWidth="1"/>
    <col min="4" max="4" width="17.54296875" customWidth="1"/>
    <col min="5" max="5" width="13.453125" bestFit="1" customWidth="1"/>
    <col min="6" max="6" width="20.1796875" customWidth="1"/>
    <col min="8" max="8" width="5.7265625" customWidth="1"/>
    <col min="9" max="9" width="2.453125" customWidth="1"/>
  </cols>
  <sheetData>
    <row r="1" spans="2:9" ht="15" thickBot="1" x14ac:dyDescent="0.4"/>
    <row r="2" spans="2:9" x14ac:dyDescent="0.35">
      <c r="B2" s="6"/>
      <c r="C2" s="7"/>
      <c r="D2" s="7"/>
      <c r="E2" s="7"/>
      <c r="F2" s="7"/>
      <c r="G2" s="7"/>
      <c r="H2" s="7"/>
      <c r="I2" s="8"/>
    </row>
    <row r="3" spans="2:9" x14ac:dyDescent="0.35">
      <c r="B3" s="3"/>
      <c r="I3" s="4"/>
    </row>
    <row r="4" spans="2:9" ht="21" customHeight="1" x14ac:dyDescent="0.35">
      <c r="B4" s="3"/>
      <c r="I4" s="4"/>
    </row>
    <row r="5" spans="2:9" ht="8" customHeight="1" x14ac:dyDescent="0.35">
      <c r="B5" s="158"/>
      <c r="C5" s="159"/>
      <c r="D5" s="159"/>
      <c r="E5" s="159"/>
      <c r="F5" s="159"/>
      <c r="G5" s="159"/>
      <c r="H5" s="159"/>
      <c r="I5" s="160"/>
    </row>
    <row r="6" spans="2:9" x14ac:dyDescent="0.35">
      <c r="B6" s="3"/>
      <c r="I6" s="4"/>
    </row>
    <row r="7" spans="2:9" x14ac:dyDescent="0.35">
      <c r="B7" s="201" t="s">
        <v>27</v>
      </c>
      <c r="C7" s="202"/>
      <c r="D7" s="119" t="s">
        <v>56</v>
      </c>
      <c r="E7" s="21"/>
      <c r="F7" s="21"/>
      <c r="G7" s="21"/>
      <c r="H7" s="21"/>
      <c r="I7" s="23"/>
    </row>
    <row r="8" spans="2:9" x14ac:dyDescent="0.35">
      <c r="B8" s="201" t="s">
        <v>57</v>
      </c>
      <c r="C8" s="202"/>
      <c r="D8" s="118">
        <v>30</v>
      </c>
      <c r="E8" s="21"/>
      <c r="F8" s="21"/>
      <c r="G8" s="21"/>
      <c r="H8" s="21"/>
      <c r="I8" s="23"/>
    </row>
    <row r="9" spans="2:9" x14ac:dyDescent="0.35">
      <c r="B9" s="201" t="s">
        <v>13</v>
      </c>
      <c r="C9" s="202"/>
      <c r="D9" s="120">
        <f>DATE(2025,6,6)</f>
        <v>45814</v>
      </c>
      <c r="E9" s="21"/>
      <c r="F9" s="21"/>
      <c r="G9" s="21"/>
      <c r="H9" s="21"/>
      <c r="I9" s="23"/>
    </row>
    <row r="10" spans="2:9" x14ac:dyDescent="0.35">
      <c r="B10" s="201" t="s">
        <v>14</v>
      </c>
      <c r="C10" s="202"/>
      <c r="D10" s="119" t="s">
        <v>100</v>
      </c>
      <c r="E10" s="21"/>
      <c r="F10" s="21"/>
      <c r="G10" s="21"/>
      <c r="H10" s="21"/>
      <c r="I10" s="23"/>
    </row>
    <row r="11" spans="2:9" ht="29" x14ac:dyDescent="0.35">
      <c r="B11" s="203" t="s">
        <v>15</v>
      </c>
      <c r="C11" s="204"/>
      <c r="D11" s="81" t="s">
        <v>59</v>
      </c>
      <c r="E11" s="81" t="s">
        <v>58</v>
      </c>
      <c r="F11" s="81" t="s">
        <v>60</v>
      </c>
      <c r="G11" s="82"/>
      <c r="H11" s="82"/>
      <c r="I11" s="60"/>
    </row>
    <row r="12" spans="2:9" x14ac:dyDescent="0.35">
      <c r="B12" s="3"/>
      <c r="I12" s="4"/>
    </row>
    <row r="13" spans="2:9" ht="21" x14ac:dyDescent="0.35">
      <c r="B13" s="195" t="s">
        <v>28</v>
      </c>
      <c r="C13" s="196"/>
      <c r="D13" s="196"/>
      <c r="E13" s="196"/>
      <c r="F13" s="196"/>
      <c r="G13" s="196"/>
      <c r="H13" s="196"/>
      <c r="I13" s="197"/>
    </row>
    <row r="14" spans="2:9" x14ac:dyDescent="0.35">
      <c r="B14" s="198" t="s">
        <v>29</v>
      </c>
      <c r="I14" s="4"/>
    </row>
    <row r="15" spans="2:9" x14ac:dyDescent="0.35">
      <c r="B15" s="198"/>
      <c r="I15" s="4"/>
    </row>
    <row r="16" spans="2:9" ht="14.5" customHeight="1" x14ac:dyDescent="0.35">
      <c r="B16" s="198"/>
      <c r="C16" s="10" t="s">
        <v>53</v>
      </c>
      <c r="D16" s="10" t="s">
        <v>16</v>
      </c>
      <c r="E16" s="10" t="s">
        <v>17</v>
      </c>
      <c r="F16" s="47" t="s">
        <v>49</v>
      </c>
      <c r="G16" s="48"/>
      <c r="H16" s="48"/>
      <c r="I16" s="49"/>
    </row>
    <row r="17" spans="2:12" x14ac:dyDescent="0.35">
      <c r="B17" s="198"/>
      <c r="C17" s="9" t="s">
        <v>18</v>
      </c>
      <c r="D17" s="39">
        <v>300000</v>
      </c>
      <c r="E17" s="119" t="s">
        <v>127</v>
      </c>
      <c r="F17" s="48"/>
      <c r="G17" s="48"/>
      <c r="H17" s="48"/>
      <c r="I17" s="49"/>
    </row>
    <row r="18" spans="2:12" x14ac:dyDescent="0.35">
      <c r="B18" s="198"/>
      <c r="C18" s="9" t="s">
        <v>19</v>
      </c>
      <c r="D18" s="119" t="s">
        <v>130</v>
      </c>
      <c r="E18" s="119"/>
      <c r="F18" s="48"/>
      <c r="G18" s="48"/>
      <c r="H18" s="48"/>
      <c r="I18" s="49"/>
    </row>
    <row r="19" spans="2:12" x14ac:dyDescent="0.35">
      <c r="B19" s="198"/>
      <c r="C19" s="9" t="s">
        <v>20</v>
      </c>
      <c r="D19" s="39">
        <v>5000000</v>
      </c>
      <c r="E19" s="119" t="s">
        <v>129</v>
      </c>
      <c r="F19" s="48"/>
      <c r="G19" s="48"/>
      <c r="H19" s="48"/>
      <c r="I19" s="49"/>
    </row>
    <row r="20" spans="2:12" x14ac:dyDescent="0.35">
      <c r="B20" s="198"/>
      <c r="C20" s="45"/>
      <c r="D20" s="45"/>
      <c r="E20" s="45"/>
      <c r="F20" s="45"/>
      <c r="G20" s="45"/>
      <c r="H20" s="45"/>
      <c r="I20" s="46"/>
      <c r="L20" t="s">
        <v>124</v>
      </c>
    </row>
    <row r="21" spans="2:12" x14ac:dyDescent="0.35">
      <c r="B21" s="198"/>
      <c r="C21" s="45"/>
      <c r="D21" s="45"/>
      <c r="E21" s="45"/>
      <c r="F21" s="45"/>
      <c r="G21" s="45"/>
      <c r="H21" s="45"/>
      <c r="I21" s="46"/>
    </row>
    <row r="22" spans="2:12" x14ac:dyDescent="0.35">
      <c r="B22" s="198"/>
      <c r="I22" s="4"/>
    </row>
    <row r="23" spans="2:12" x14ac:dyDescent="0.35">
      <c r="B23" s="161"/>
      <c r="C23" s="162"/>
      <c r="D23" s="162"/>
      <c r="E23" s="162"/>
      <c r="F23" s="162"/>
      <c r="G23" s="162"/>
      <c r="H23" s="162"/>
      <c r="I23" s="163"/>
    </row>
    <row r="24" spans="2:12" s="5" customFormat="1" ht="14.5" customHeight="1" x14ac:dyDescent="0.35">
      <c r="B24" s="199" t="s">
        <v>30</v>
      </c>
      <c r="I24" s="61"/>
    </row>
    <row r="25" spans="2:12" x14ac:dyDescent="0.35">
      <c r="B25" s="181"/>
      <c r="C25" s="10" t="s">
        <v>31</v>
      </c>
      <c r="D25" s="39">
        <v>2000000</v>
      </c>
      <c r="I25" s="4"/>
    </row>
    <row r="26" spans="2:12" x14ac:dyDescent="0.35">
      <c r="B26" s="181"/>
      <c r="I26" s="4"/>
    </row>
    <row r="27" spans="2:12" x14ac:dyDescent="0.35">
      <c r="B27" s="181"/>
      <c r="C27" s="40" t="s">
        <v>50</v>
      </c>
      <c r="D27" s="188">
        <v>2</v>
      </c>
      <c r="E27" s="188"/>
      <c r="I27" s="4"/>
    </row>
    <row r="28" spans="2:12" x14ac:dyDescent="0.35">
      <c r="B28" s="181"/>
      <c r="C28" s="9" t="s">
        <v>21</v>
      </c>
      <c r="D28" s="189">
        <v>18</v>
      </c>
      <c r="E28" s="189"/>
      <c r="I28" s="4"/>
    </row>
    <row r="29" spans="2:12" x14ac:dyDescent="0.35">
      <c r="B29" s="181"/>
      <c r="C29" s="9" t="str">
        <f>"Total time left to reach Goal @"&amp;D28&amp;" yrs"</f>
        <v>Total time left to reach Goal @18 yrs</v>
      </c>
      <c r="D29" s="190">
        <f>D28-D27</f>
        <v>16</v>
      </c>
      <c r="E29" s="190"/>
      <c r="I29" s="4"/>
    </row>
    <row r="30" spans="2:12" x14ac:dyDescent="0.35">
      <c r="B30" s="181"/>
      <c r="C30" s="9" t="s">
        <v>51</v>
      </c>
      <c r="D30" s="190">
        <f>D29-2</f>
        <v>14</v>
      </c>
      <c r="E30" s="190"/>
      <c r="I30" s="4"/>
    </row>
    <row r="31" spans="2:12" x14ac:dyDescent="0.35">
      <c r="B31" s="181"/>
      <c r="C31" s="9" t="s">
        <v>22</v>
      </c>
      <c r="D31" s="180">
        <f>D25</f>
        <v>2000000</v>
      </c>
      <c r="E31" s="180"/>
      <c r="I31" s="4"/>
    </row>
    <row r="32" spans="2:12" x14ac:dyDescent="0.35">
      <c r="B32" s="181"/>
      <c r="C32" s="9" t="str">
        <f>"Future Value @ "&amp; D28&amp;"th"&amp;" year"</f>
        <v>Future Value @ 18th year</v>
      </c>
      <c r="D32" s="180">
        <f>D31*(1+'Calculation &amp; Assumption'!D9)^D29</f>
        <v>5904327.4971308149</v>
      </c>
      <c r="E32" s="180"/>
      <c r="I32" s="4"/>
    </row>
    <row r="33" spans="2:9" x14ac:dyDescent="0.35">
      <c r="B33" s="181"/>
      <c r="I33" s="4"/>
    </row>
    <row r="34" spans="2:9" x14ac:dyDescent="0.35">
      <c r="B34" s="181"/>
      <c r="C34" s="50" t="s">
        <v>23</v>
      </c>
      <c r="D34" s="50"/>
      <c r="E34" s="50"/>
      <c r="F34" s="50"/>
      <c r="G34" s="50"/>
      <c r="H34" s="50"/>
      <c r="I34" s="51"/>
    </row>
    <row r="35" spans="2:9" ht="14.5" customHeight="1" thickBot="1" x14ac:dyDescent="0.4">
      <c r="B35" s="181"/>
      <c r="I35" s="4"/>
    </row>
    <row r="36" spans="2:9" ht="29.5" thickBot="1" x14ac:dyDescent="0.4">
      <c r="B36" s="181"/>
      <c r="C36" s="53" t="s">
        <v>32</v>
      </c>
      <c r="D36" s="54" t="s">
        <v>24</v>
      </c>
      <c r="E36" s="54" t="s">
        <v>25</v>
      </c>
      <c r="F36" s="55" t="s">
        <v>26</v>
      </c>
      <c r="I36" s="4"/>
    </row>
    <row r="37" spans="2:9" x14ac:dyDescent="0.35">
      <c r="B37" s="181"/>
      <c r="C37" s="9" t="str">
        <f>'Scheme Recommendation'!C7</f>
        <v>Nippon India Large Cap Fund - Growth</v>
      </c>
      <c r="D37" s="121">
        <v>2000</v>
      </c>
      <c r="E37" s="44">
        <f>DATE(2025,6,9)</f>
        <v>45817</v>
      </c>
      <c r="F37" s="21"/>
      <c r="I37" s="4"/>
    </row>
    <row r="38" spans="2:9" x14ac:dyDescent="0.35">
      <c r="B38" s="181"/>
      <c r="C38" s="179" t="str">
        <f>'Scheme Recommendation'!C13</f>
        <v>HDFC Mid-Cap Opportunities Fund - Growth</v>
      </c>
      <c r="D38" s="121">
        <v>2000</v>
      </c>
      <c r="E38" s="44">
        <f>DATE(2025,6,9)</f>
        <v>45817</v>
      </c>
      <c r="F38" s="21"/>
      <c r="I38" s="4"/>
    </row>
    <row r="39" spans="2:9" x14ac:dyDescent="0.35">
      <c r="B39" s="181"/>
      <c r="C39" s="179"/>
      <c r="D39" s="121">
        <v>2000</v>
      </c>
      <c r="E39" s="44">
        <f>DATE(2025,6,15)</f>
        <v>45823</v>
      </c>
      <c r="F39" s="21"/>
      <c r="I39" s="4"/>
    </row>
    <row r="40" spans="2:9" x14ac:dyDescent="0.35">
      <c r="B40" s="181"/>
      <c r="C40" s="179"/>
      <c r="D40" s="121">
        <v>2000</v>
      </c>
      <c r="E40" s="44">
        <f>DATE(2025,6,22)</f>
        <v>45830</v>
      </c>
      <c r="F40" s="21"/>
      <c r="I40" s="4"/>
    </row>
    <row r="41" spans="2:9" x14ac:dyDescent="0.35">
      <c r="B41" s="181"/>
      <c r="C41" s="9"/>
      <c r="D41" s="42"/>
      <c r="E41" s="21"/>
      <c r="F41" s="21"/>
      <c r="I41" s="4"/>
    </row>
    <row r="42" spans="2:9" x14ac:dyDescent="0.35">
      <c r="B42" s="181"/>
      <c r="C42" s="9"/>
      <c r="D42" s="42"/>
      <c r="E42" s="21"/>
      <c r="F42" s="21"/>
      <c r="I42" s="4"/>
    </row>
    <row r="43" spans="2:9" x14ac:dyDescent="0.35">
      <c r="B43" s="181"/>
      <c r="C43" s="122" t="s">
        <v>33</v>
      </c>
      <c r="D43" s="56">
        <f>SUM(D37:D42)</f>
        <v>8000</v>
      </c>
      <c r="E43" s="52"/>
      <c r="F43" s="52"/>
      <c r="I43" s="4"/>
    </row>
    <row r="44" spans="2:9" x14ac:dyDescent="0.35">
      <c r="B44" s="181"/>
      <c r="C44" s="9" t="s">
        <v>34</v>
      </c>
      <c r="D44" s="84">
        <f>'Calculation &amp; Assumption'!D17</f>
        <v>0.17</v>
      </c>
      <c r="E44" s="22"/>
      <c r="F44" s="22"/>
      <c r="I44" s="4"/>
    </row>
    <row r="45" spans="2:9" x14ac:dyDescent="0.35">
      <c r="B45" s="181"/>
      <c r="C45" s="9" t="s">
        <v>39</v>
      </c>
      <c r="D45" s="20">
        <f>D30</f>
        <v>14</v>
      </c>
      <c r="E45" s="22"/>
      <c r="F45" s="22"/>
      <c r="I45" s="4"/>
    </row>
    <row r="46" spans="2:9" ht="14.5" customHeight="1" thickBot="1" x14ac:dyDescent="0.4">
      <c r="B46" s="181"/>
      <c r="C46" s="57" t="s">
        <v>52</v>
      </c>
      <c r="D46" s="58">
        <f>'Calculation &amp; Assumption'!D21</f>
        <v>5512838.7295016237</v>
      </c>
      <c r="E46" s="59"/>
      <c r="F46" s="59"/>
      <c r="I46" s="4"/>
    </row>
    <row r="47" spans="2:9" ht="14.5" customHeight="1" thickTop="1" x14ac:dyDescent="0.35">
      <c r="B47" s="181"/>
      <c r="I47" s="4"/>
    </row>
    <row r="48" spans="2:9" x14ac:dyDescent="0.35">
      <c r="B48" s="181"/>
      <c r="C48" s="182" t="str">
        <f>"Note: When the child turn "&amp; D29&amp;" years of age, we highly recommend to Redeem the fund with approx. value of Rs "&amp; ROUND(D46,0)&amp;" &amp; then re invest / park it in Liquid Funds or Bank FD's  for next 2 years &amp; expect a return of "&amp;D51*100&amp;"%"</f>
        <v>Note: When the child turn 16 years of age, we highly recommend to Redeem the fund with approx. value of Rs 5512839 &amp; then re invest / park it in Liquid Funds or Bank FD's  for next 2 years &amp; expect a return of 6%</v>
      </c>
      <c r="D48" s="182"/>
      <c r="E48" s="182"/>
      <c r="F48" s="182"/>
      <c r="G48" s="182"/>
      <c r="H48" s="182"/>
      <c r="I48" s="183"/>
    </row>
    <row r="49" spans="2:9" x14ac:dyDescent="0.35">
      <c r="B49" s="181"/>
      <c r="C49" s="182"/>
      <c r="D49" s="182"/>
      <c r="E49" s="182"/>
      <c r="F49" s="182"/>
      <c r="G49" s="182"/>
      <c r="H49" s="182"/>
      <c r="I49" s="183"/>
    </row>
    <row r="50" spans="2:9" x14ac:dyDescent="0.35">
      <c r="B50" s="181"/>
      <c r="I50" s="4"/>
    </row>
    <row r="51" spans="2:9" x14ac:dyDescent="0.35">
      <c r="B51" s="181"/>
      <c r="C51" s="9" t="s">
        <v>35</v>
      </c>
      <c r="D51" s="84">
        <f>'Calculation &amp; Assumption'!$D$29</f>
        <v>0.06</v>
      </c>
      <c r="I51" s="4"/>
    </row>
    <row r="52" spans="2:9" x14ac:dyDescent="0.35">
      <c r="B52" s="181"/>
      <c r="C52" s="9" t="s">
        <v>54</v>
      </c>
      <c r="D52" s="41">
        <f>D46</f>
        <v>5512838.7295016237</v>
      </c>
      <c r="I52" s="4"/>
    </row>
    <row r="53" spans="2:9" x14ac:dyDescent="0.35">
      <c r="B53" s="181"/>
      <c r="C53" s="9" t="s">
        <v>39</v>
      </c>
      <c r="D53" s="118">
        <v>2</v>
      </c>
      <c r="I53" s="4"/>
    </row>
    <row r="54" spans="2:9" x14ac:dyDescent="0.35">
      <c r="B54" s="181"/>
      <c r="I54" s="4"/>
    </row>
    <row r="55" spans="2:9" ht="23.5" x14ac:dyDescent="0.55000000000000004">
      <c r="B55" s="181"/>
      <c r="C55" s="80" t="s">
        <v>55</v>
      </c>
      <c r="D55" s="186">
        <f>D52*(1+D51)^D53</f>
        <v>6194225.5964680249</v>
      </c>
      <c r="E55" s="186"/>
      <c r="F55" s="186"/>
      <c r="G55" s="186"/>
      <c r="H55" s="186"/>
      <c r="I55" s="187"/>
    </row>
    <row r="56" spans="2:9" x14ac:dyDescent="0.35">
      <c r="B56" s="200"/>
      <c r="I56" s="4"/>
    </row>
    <row r="57" spans="2:9" x14ac:dyDescent="0.35">
      <c r="B57" s="161"/>
      <c r="C57" s="162"/>
      <c r="D57" s="162"/>
      <c r="E57" s="162"/>
      <c r="F57" s="162"/>
      <c r="G57" s="162"/>
      <c r="H57" s="162"/>
      <c r="I57" s="163"/>
    </row>
    <row r="58" spans="2:9" ht="14.5" customHeight="1" x14ac:dyDescent="0.35">
      <c r="B58" s="181" t="s">
        <v>61</v>
      </c>
      <c r="I58" s="4"/>
    </row>
    <row r="59" spans="2:9" ht="14.5" customHeight="1" x14ac:dyDescent="0.35">
      <c r="B59" s="181"/>
      <c r="C59" s="10" t="s">
        <v>31</v>
      </c>
      <c r="D59" s="39">
        <v>2000000</v>
      </c>
      <c r="I59" s="4"/>
    </row>
    <row r="60" spans="2:9" ht="14.5" customHeight="1" x14ac:dyDescent="0.35">
      <c r="B60" s="181"/>
      <c r="I60" s="4"/>
    </row>
    <row r="61" spans="2:9" ht="14.5" customHeight="1" x14ac:dyDescent="0.35">
      <c r="B61" s="181"/>
      <c r="C61" s="40" t="s">
        <v>50</v>
      </c>
      <c r="D61" s="188">
        <v>2</v>
      </c>
      <c r="E61" s="188"/>
      <c r="I61" s="4"/>
    </row>
    <row r="62" spans="2:9" ht="14.5" customHeight="1" x14ac:dyDescent="0.35">
      <c r="B62" s="181"/>
      <c r="C62" s="9" t="s">
        <v>21</v>
      </c>
      <c r="D62" s="189">
        <v>25</v>
      </c>
      <c r="E62" s="189"/>
      <c r="I62" s="4"/>
    </row>
    <row r="63" spans="2:9" ht="14.5" customHeight="1" x14ac:dyDescent="0.35">
      <c r="B63" s="181"/>
      <c r="C63" s="9" t="str">
        <f>"Total time left to reach Goal @"&amp;D62&amp;" yrs"</f>
        <v>Total time left to reach Goal @25 yrs</v>
      </c>
      <c r="D63" s="190">
        <f>D62-D61</f>
        <v>23</v>
      </c>
      <c r="E63" s="190"/>
      <c r="I63" s="4"/>
    </row>
    <row r="64" spans="2:9" ht="14.5" customHeight="1" x14ac:dyDescent="0.35">
      <c r="B64" s="181"/>
      <c r="C64" s="9" t="s">
        <v>51</v>
      </c>
      <c r="D64" s="190">
        <f>D63-2</f>
        <v>21</v>
      </c>
      <c r="E64" s="190"/>
      <c r="I64" s="4"/>
    </row>
    <row r="65" spans="2:9" ht="14.5" customHeight="1" x14ac:dyDescent="0.35">
      <c r="B65" s="181"/>
      <c r="C65" s="9" t="s">
        <v>22</v>
      </c>
      <c r="D65" s="180">
        <f>D59</f>
        <v>2000000</v>
      </c>
      <c r="E65" s="180"/>
      <c r="I65" s="4"/>
    </row>
    <row r="66" spans="2:9" ht="14.5" customHeight="1" x14ac:dyDescent="0.35">
      <c r="B66" s="181"/>
      <c r="C66" s="9" t="str">
        <f>"Future Value @ "&amp; D62&amp;"th"&amp;" year"</f>
        <v>Future Value @ 25th year</v>
      </c>
      <c r="D66" s="180">
        <f>'Calculation &amp; Assumption'!I12</f>
        <v>10854865.280245783</v>
      </c>
      <c r="E66" s="180"/>
      <c r="I66" s="4"/>
    </row>
    <row r="67" spans="2:9" ht="14.5" customHeight="1" x14ac:dyDescent="0.35">
      <c r="B67" s="181"/>
      <c r="I67" s="4"/>
    </row>
    <row r="68" spans="2:9" ht="14.5" customHeight="1" x14ac:dyDescent="0.35">
      <c r="B68" s="181"/>
      <c r="C68" s="50" t="s">
        <v>23</v>
      </c>
      <c r="D68" s="50"/>
      <c r="E68" s="50"/>
      <c r="F68" s="50"/>
      <c r="G68" s="50"/>
      <c r="H68" s="50"/>
      <c r="I68" s="51"/>
    </row>
    <row r="69" spans="2:9" ht="9" customHeight="1" thickBot="1" x14ac:dyDescent="0.4">
      <c r="B69" s="181"/>
      <c r="I69" s="4"/>
    </row>
    <row r="70" spans="2:9" ht="28.5" customHeight="1" thickBot="1" x14ac:dyDescent="0.4">
      <c r="B70" s="181"/>
      <c r="C70" s="105" t="s">
        <v>32</v>
      </c>
      <c r="D70" s="55" t="s">
        <v>24</v>
      </c>
      <c r="E70" s="55" t="s">
        <v>25</v>
      </c>
      <c r="F70" s="55" t="s">
        <v>26</v>
      </c>
      <c r="I70" s="4"/>
    </row>
    <row r="71" spans="2:9" ht="14.5" customHeight="1" x14ac:dyDescent="0.35">
      <c r="B71" s="181"/>
      <c r="C71" s="191" t="str">
        <f>'Scheme Recommendation'!C8</f>
        <v>ICICI Prudential Bluechip Fund - Growth</v>
      </c>
      <c r="D71" s="119">
        <v>500</v>
      </c>
      <c r="E71" s="44">
        <f>DATE(2025,6,9)</f>
        <v>45817</v>
      </c>
      <c r="F71" s="21"/>
      <c r="I71" s="4"/>
    </row>
    <row r="72" spans="2:9" ht="14.5" customHeight="1" x14ac:dyDescent="0.35">
      <c r="B72" s="181"/>
      <c r="C72" s="179"/>
      <c r="D72" s="119">
        <v>500</v>
      </c>
      <c r="E72" s="44">
        <f>DATE(2025,6,21)</f>
        <v>45829</v>
      </c>
      <c r="F72" s="21"/>
      <c r="I72" s="4"/>
    </row>
    <row r="73" spans="2:9" ht="14.5" customHeight="1" x14ac:dyDescent="0.35">
      <c r="B73" s="181"/>
      <c r="C73" s="179" t="str">
        <f>'Scheme Recommendation'!C13</f>
        <v>HDFC Mid-Cap Opportunities Fund - Growth</v>
      </c>
      <c r="D73" s="119">
        <v>750</v>
      </c>
      <c r="E73" s="44">
        <f t="shared" ref="E73:E75" si="0">DATE(2025,6,9)</f>
        <v>45817</v>
      </c>
      <c r="F73" s="21"/>
      <c r="I73" s="4"/>
    </row>
    <row r="74" spans="2:9" ht="14.5" customHeight="1" x14ac:dyDescent="0.35">
      <c r="B74" s="181"/>
      <c r="C74" s="179"/>
      <c r="D74" s="119">
        <v>750</v>
      </c>
      <c r="E74" s="44">
        <f>DATE(2025,6,21)</f>
        <v>45829</v>
      </c>
      <c r="F74" s="21"/>
      <c r="I74" s="4"/>
    </row>
    <row r="75" spans="2:9" ht="14.5" customHeight="1" x14ac:dyDescent="0.35">
      <c r="B75" s="181"/>
      <c r="C75" s="179" t="str">
        <f>'Scheme Recommendation'!C17</f>
        <v>Nippon India Small Cap Fund - Growth</v>
      </c>
      <c r="D75" s="119">
        <v>500</v>
      </c>
      <c r="E75" s="44">
        <f t="shared" si="0"/>
        <v>45817</v>
      </c>
      <c r="F75" s="21"/>
      <c r="I75" s="4"/>
    </row>
    <row r="76" spans="2:9" ht="14.5" customHeight="1" x14ac:dyDescent="0.35">
      <c r="B76" s="181"/>
      <c r="C76" s="192"/>
      <c r="D76" s="119">
        <v>500</v>
      </c>
      <c r="E76" s="44">
        <f>DATE(2025,6,21)</f>
        <v>45829</v>
      </c>
      <c r="F76" s="21"/>
      <c r="I76" s="4"/>
    </row>
    <row r="77" spans="2:9" ht="14.5" customHeight="1" x14ac:dyDescent="0.35">
      <c r="B77" s="181"/>
      <c r="C77" s="122" t="s">
        <v>33</v>
      </c>
      <c r="D77" s="56">
        <f>SUM(D71:D76)</f>
        <v>3500</v>
      </c>
      <c r="E77" s="52"/>
      <c r="F77" s="52"/>
      <c r="I77" s="4"/>
    </row>
    <row r="78" spans="2:9" ht="14.5" customHeight="1" x14ac:dyDescent="0.35">
      <c r="B78" s="181"/>
      <c r="C78" s="9" t="s">
        <v>34</v>
      </c>
      <c r="D78" s="84">
        <f>'Calculation &amp; Assumption'!I17</f>
        <v>0.16</v>
      </c>
      <c r="E78" s="22"/>
      <c r="F78" s="22"/>
      <c r="I78" s="4"/>
    </row>
    <row r="79" spans="2:9" ht="14.5" customHeight="1" x14ac:dyDescent="0.35">
      <c r="B79" s="181"/>
      <c r="C79" s="9" t="s">
        <v>39</v>
      </c>
      <c r="D79" s="20">
        <f>D63</f>
        <v>23</v>
      </c>
      <c r="E79" s="22"/>
      <c r="F79" s="22"/>
      <c r="I79" s="4"/>
    </row>
    <row r="80" spans="2:9" ht="14.5" customHeight="1" thickBot="1" x14ac:dyDescent="0.4">
      <c r="B80" s="181"/>
      <c r="C80" s="57" t="s">
        <v>52</v>
      </c>
      <c r="D80" s="58">
        <f>'Calculation &amp; Assumption'!I21</f>
        <v>10026583.762181399</v>
      </c>
      <c r="E80" s="59"/>
      <c r="F80" s="59"/>
      <c r="I80" s="4"/>
    </row>
    <row r="81" spans="2:9" ht="14.5" customHeight="1" thickTop="1" x14ac:dyDescent="0.35">
      <c r="B81" s="181"/>
      <c r="I81" s="4"/>
    </row>
    <row r="82" spans="2:9" ht="14.5" customHeight="1" x14ac:dyDescent="0.35">
      <c r="B82" s="181"/>
      <c r="C82" s="182" t="str">
        <f>"Note: When the child turn "&amp; D63&amp;" years of age, we highly recommend to Redeem the fund with approx. value of Rs "&amp; ROUND(D80,0)&amp;" &amp; then re invest / park it in Liquid Funds or Bank FD's  for next 2 years &amp; expect a return of "&amp;D85*100&amp;"%"</f>
        <v>Note: When the child turn 23 years of age, we highly recommend to Redeem the fund with approx. value of Rs 10026584 &amp; then re invest / park it in Liquid Funds or Bank FD's  for next 2 years &amp; expect a return of 6%</v>
      </c>
      <c r="D82" s="182"/>
      <c r="E82" s="182"/>
      <c r="F82" s="182"/>
      <c r="G82" s="182"/>
      <c r="H82" s="182"/>
      <c r="I82" s="183"/>
    </row>
    <row r="83" spans="2:9" ht="14.5" customHeight="1" x14ac:dyDescent="0.35">
      <c r="B83" s="181"/>
      <c r="C83" s="182"/>
      <c r="D83" s="182"/>
      <c r="E83" s="182"/>
      <c r="F83" s="182"/>
      <c r="G83" s="182"/>
      <c r="H83" s="182"/>
      <c r="I83" s="183"/>
    </row>
    <row r="84" spans="2:9" ht="14.5" customHeight="1" x14ac:dyDescent="0.35">
      <c r="B84" s="181"/>
      <c r="I84" s="4"/>
    </row>
    <row r="85" spans="2:9" ht="14.5" customHeight="1" x14ac:dyDescent="0.35">
      <c r="B85" s="181"/>
      <c r="C85" s="9" t="s">
        <v>35</v>
      </c>
      <c r="D85" s="84">
        <f>'Calculation &amp; Assumption'!$D$29</f>
        <v>0.06</v>
      </c>
      <c r="I85" s="4"/>
    </row>
    <row r="86" spans="2:9" ht="14.5" customHeight="1" x14ac:dyDescent="0.35">
      <c r="B86" s="181"/>
      <c r="C86" s="9" t="s">
        <v>54</v>
      </c>
      <c r="D86" s="41">
        <f>D80</f>
        <v>10026583.762181399</v>
      </c>
      <c r="I86" s="4"/>
    </row>
    <row r="87" spans="2:9" ht="14.5" customHeight="1" x14ac:dyDescent="0.35">
      <c r="B87" s="181"/>
      <c r="C87" s="9" t="s">
        <v>39</v>
      </c>
      <c r="D87" s="118">
        <v>2</v>
      </c>
      <c r="I87" s="4"/>
    </row>
    <row r="88" spans="2:9" ht="8.5" customHeight="1" x14ac:dyDescent="0.35">
      <c r="B88" s="181"/>
      <c r="I88" s="4"/>
    </row>
    <row r="89" spans="2:9" ht="24.5" customHeight="1" x14ac:dyDescent="0.6">
      <c r="B89" s="181"/>
      <c r="C89" s="80" t="s">
        <v>55</v>
      </c>
      <c r="D89" s="184">
        <f>D86*(1+D85)^D87</f>
        <v>11265869.515187021</v>
      </c>
      <c r="E89" s="184"/>
      <c r="F89" s="184"/>
      <c r="G89" s="184"/>
      <c r="H89" s="184"/>
      <c r="I89" s="185"/>
    </row>
    <row r="90" spans="2:9" x14ac:dyDescent="0.35">
      <c r="B90" s="181"/>
      <c r="I90" s="4"/>
    </row>
    <row r="91" spans="2:9" x14ac:dyDescent="0.35">
      <c r="B91" s="161"/>
      <c r="C91" s="162"/>
      <c r="D91" s="162"/>
      <c r="E91" s="162"/>
      <c r="F91" s="162"/>
      <c r="G91" s="162"/>
      <c r="H91" s="162"/>
      <c r="I91" s="163"/>
    </row>
    <row r="92" spans="2:9" x14ac:dyDescent="0.35">
      <c r="B92" s="181" t="s">
        <v>62</v>
      </c>
      <c r="C92" s="5"/>
      <c r="D92" s="5"/>
      <c r="E92" s="5"/>
      <c r="F92" s="5"/>
      <c r="G92" s="5"/>
      <c r="H92" s="5"/>
      <c r="I92" s="61"/>
    </row>
    <row r="93" spans="2:9" x14ac:dyDescent="0.35">
      <c r="B93" s="181"/>
      <c r="C93" s="10" t="s">
        <v>31</v>
      </c>
      <c r="D93" s="39">
        <v>7000000</v>
      </c>
      <c r="I93" s="4"/>
    </row>
    <row r="94" spans="2:9" x14ac:dyDescent="0.35">
      <c r="B94" s="181"/>
      <c r="I94" s="4"/>
    </row>
    <row r="95" spans="2:9" x14ac:dyDescent="0.35">
      <c r="B95" s="181"/>
      <c r="C95" s="9" t="s">
        <v>67</v>
      </c>
      <c r="D95" s="118">
        <v>10</v>
      </c>
      <c r="I95" s="4"/>
    </row>
    <row r="96" spans="2:9" x14ac:dyDescent="0.35">
      <c r="B96" s="181"/>
      <c r="C96" s="9" t="s">
        <v>22</v>
      </c>
      <c r="D96" s="41">
        <f>D93</f>
        <v>7000000</v>
      </c>
      <c r="I96" s="4"/>
    </row>
    <row r="97" spans="2:9" x14ac:dyDescent="0.35">
      <c r="B97" s="181"/>
      <c r="C97" s="9" t="str">
        <f>"Future Value @ "&amp;D95&amp;"th year"</f>
        <v>Future Value @ 10th year</v>
      </c>
      <c r="D97" s="41">
        <f>D96*(1+'Calculation &amp; Assumption'!O9)^Portfolio!D95</f>
        <v>15112474.980909515</v>
      </c>
      <c r="I97" s="4"/>
    </row>
    <row r="98" spans="2:9" x14ac:dyDescent="0.35">
      <c r="B98" s="181"/>
      <c r="I98" s="4"/>
    </row>
    <row r="99" spans="2:9" x14ac:dyDescent="0.35">
      <c r="B99" s="181"/>
      <c r="C99" s="50" t="s">
        <v>23</v>
      </c>
      <c r="D99" s="50"/>
      <c r="E99" s="50"/>
      <c r="F99" s="50"/>
      <c r="G99" s="50"/>
      <c r="H99" s="50"/>
      <c r="I99" s="51"/>
    </row>
    <row r="100" spans="2:9" ht="15" thickBot="1" x14ac:dyDescent="0.4">
      <c r="B100" s="181"/>
      <c r="I100" s="4"/>
    </row>
    <row r="101" spans="2:9" ht="29.5" thickBot="1" x14ac:dyDescent="0.4">
      <c r="B101" s="181"/>
      <c r="C101" s="53" t="s">
        <v>32</v>
      </c>
      <c r="D101" s="54" t="s">
        <v>24</v>
      </c>
      <c r="E101" s="54" t="s">
        <v>25</v>
      </c>
      <c r="F101" s="55" t="s">
        <v>26</v>
      </c>
      <c r="I101" s="4"/>
    </row>
    <row r="102" spans="2:9" x14ac:dyDescent="0.35">
      <c r="B102" s="181"/>
      <c r="C102" s="191" t="str">
        <f>'Scheme Recommendation'!C8</f>
        <v>ICICI Prudential Bluechip Fund - Growth</v>
      </c>
      <c r="D102" s="125">
        <v>2066.6669999999999</v>
      </c>
      <c r="E102" s="123">
        <f>DATE(2025,6,2)</f>
        <v>45810</v>
      </c>
      <c r="F102" s="21"/>
      <c r="I102" s="4"/>
    </row>
    <row r="103" spans="2:9" x14ac:dyDescent="0.35">
      <c r="B103" s="181"/>
      <c r="C103" s="179"/>
      <c r="D103" s="125">
        <v>2066.6669999999999</v>
      </c>
      <c r="E103" s="123">
        <f>DATE(2025,6,12)</f>
        <v>45820</v>
      </c>
      <c r="F103" s="21"/>
      <c r="I103" s="4"/>
    </row>
    <row r="104" spans="2:9" x14ac:dyDescent="0.35">
      <c r="B104" s="181"/>
      <c r="C104" s="179"/>
      <c r="D104" s="125">
        <v>2066.6669999999999</v>
      </c>
      <c r="E104" s="123">
        <f>DATE(2025,6,21)</f>
        <v>45829</v>
      </c>
      <c r="F104" s="21"/>
      <c r="I104" s="4"/>
    </row>
    <row r="105" spans="2:9" x14ac:dyDescent="0.35">
      <c r="B105" s="181"/>
      <c r="C105" s="179" t="str">
        <f>'Scheme Recommendation'!C13</f>
        <v>HDFC Mid-Cap Opportunities Fund - Growth</v>
      </c>
      <c r="D105" s="121">
        <v>3100</v>
      </c>
      <c r="E105" s="123">
        <f>DATE(2025,6,2)</f>
        <v>45810</v>
      </c>
      <c r="F105" s="21"/>
      <c r="I105" s="4"/>
    </row>
    <row r="106" spans="2:9" x14ac:dyDescent="0.35">
      <c r="B106" s="181"/>
      <c r="C106" s="179"/>
      <c r="D106" s="121">
        <v>3100</v>
      </c>
      <c r="E106" s="123">
        <f>DATE(2025,6,12)</f>
        <v>45820</v>
      </c>
      <c r="F106" s="21"/>
      <c r="I106" s="4"/>
    </row>
    <row r="107" spans="2:9" x14ac:dyDescent="0.35">
      <c r="B107" s="181"/>
      <c r="C107" s="9"/>
      <c r="D107" s="121">
        <v>3100</v>
      </c>
      <c r="E107" s="123">
        <f>DATE(2025,6,21)</f>
        <v>45829</v>
      </c>
      <c r="F107" s="21"/>
      <c r="I107" s="4"/>
    </row>
    <row r="108" spans="2:9" x14ac:dyDescent="0.35">
      <c r="B108" s="181"/>
      <c r="C108" s="122" t="s">
        <v>33</v>
      </c>
      <c r="D108" s="124">
        <f>SUM(D102:D107)</f>
        <v>15500.001</v>
      </c>
      <c r="E108" s="193" t="s">
        <v>128</v>
      </c>
      <c r="F108" s="193"/>
      <c r="I108" s="4"/>
    </row>
    <row r="109" spans="2:9" x14ac:dyDescent="0.35">
      <c r="B109" s="181"/>
      <c r="C109" s="9" t="s">
        <v>34</v>
      </c>
      <c r="D109" s="84">
        <f>'Calculation &amp; Assumption'!D35</f>
        <v>0.17</v>
      </c>
      <c r="E109" s="194"/>
      <c r="F109" s="194"/>
      <c r="I109" s="4"/>
    </row>
    <row r="110" spans="2:9" x14ac:dyDescent="0.35">
      <c r="B110" s="181"/>
      <c r="C110" s="9" t="s">
        <v>39</v>
      </c>
      <c r="D110" s="20">
        <f>D95</f>
        <v>10</v>
      </c>
      <c r="E110" s="194"/>
      <c r="F110" s="194"/>
      <c r="I110" s="4"/>
    </row>
    <row r="111" spans="2:9" x14ac:dyDescent="0.35">
      <c r="B111" s="181"/>
      <c r="I111" s="4"/>
    </row>
    <row r="112" spans="2:9" ht="23.5" x14ac:dyDescent="0.55000000000000004">
      <c r="B112" s="181"/>
      <c r="C112" s="80" t="s">
        <v>55</v>
      </c>
      <c r="D112" s="186">
        <f>Projection!S17</f>
        <v>15131649.8991464</v>
      </c>
      <c r="E112" s="186"/>
      <c r="F112" s="186"/>
      <c r="G112" s="186"/>
      <c r="H112" s="186"/>
      <c r="I112" s="187"/>
    </row>
    <row r="113" spans="2:9" x14ac:dyDescent="0.35">
      <c r="B113" s="181"/>
      <c r="I113" s="4"/>
    </row>
    <row r="114" spans="2:9" x14ac:dyDescent="0.35">
      <c r="B114" s="158"/>
      <c r="C114" s="159"/>
      <c r="D114" s="159"/>
      <c r="E114" s="159"/>
      <c r="F114" s="159"/>
      <c r="G114" s="159"/>
      <c r="H114" s="159"/>
      <c r="I114" s="160"/>
    </row>
  </sheetData>
  <mergeCells count="34">
    <mergeCell ref="B7:C7"/>
    <mergeCell ref="B8:C8"/>
    <mergeCell ref="B9:C9"/>
    <mergeCell ref="B10:C10"/>
    <mergeCell ref="B11:C11"/>
    <mergeCell ref="C102:C104"/>
    <mergeCell ref="B13:I13"/>
    <mergeCell ref="B14:B22"/>
    <mergeCell ref="C48:I49"/>
    <mergeCell ref="B24:B56"/>
    <mergeCell ref="D31:E31"/>
    <mergeCell ref="D32:E32"/>
    <mergeCell ref="D55:I55"/>
    <mergeCell ref="D27:E27"/>
    <mergeCell ref="D28:E28"/>
    <mergeCell ref="D29:E29"/>
    <mergeCell ref="D30:E30"/>
    <mergeCell ref="C38:C40"/>
    <mergeCell ref="C105:C106"/>
    <mergeCell ref="D65:E65"/>
    <mergeCell ref="D66:E66"/>
    <mergeCell ref="B58:B90"/>
    <mergeCell ref="C82:I83"/>
    <mergeCell ref="B92:B113"/>
    <mergeCell ref="D89:I89"/>
    <mergeCell ref="D112:I112"/>
    <mergeCell ref="D61:E61"/>
    <mergeCell ref="D62:E62"/>
    <mergeCell ref="D63:E63"/>
    <mergeCell ref="D64:E64"/>
    <mergeCell ref="C71:C72"/>
    <mergeCell ref="C73:C74"/>
    <mergeCell ref="C75:C76"/>
    <mergeCell ref="E108:F110"/>
  </mergeCells>
  <hyperlinks>
    <hyperlink ref="C43" location="Projection!U2" display="Monthly SIP pm &gt;&gt;&gt;" xr:uid="{D3254C39-AFAE-4DD5-B40E-07ADB13A50E4}"/>
    <hyperlink ref="C77" location="Projection!Y2" display="Monthly SIP pm &gt;&gt;&gt;" xr:uid="{869D074E-F0CF-4DE1-9929-740CE48CEEE8}"/>
    <hyperlink ref="C108" location="Projection!P2" display="Monthly SIP pm &gt;&gt;&gt;" xr:uid="{E0C4FBAB-8EB5-47D7-B76E-E0927E5A8A03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BA1F-7DE9-42CE-80B3-78B7FF5335AB}">
  <dimension ref="B1:R51"/>
  <sheetViews>
    <sheetView showGridLines="0" topLeftCell="A10" zoomScale="81" workbookViewId="0">
      <selection activeCell="C33" sqref="C33"/>
    </sheetView>
  </sheetViews>
  <sheetFormatPr defaultRowHeight="14.5" x14ac:dyDescent="0.35"/>
  <cols>
    <col min="1" max="2" width="1.81640625" customWidth="1"/>
    <col min="3" max="3" width="30.36328125" customWidth="1"/>
    <col min="4" max="4" width="12" bestFit="1" customWidth="1"/>
    <col min="5" max="5" width="1.81640625" customWidth="1"/>
    <col min="6" max="6" width="2.1796875" customWidth="1"/>
    <col min="7" max="7" width="1.453125" customWidth="1"/>
    <col min="8" max="8" width="38.26953125" bestFit="1" customWidth="1"/>
    <col min="9" max="9" width="12" bestFit="1" customWidth="1"/>
    <col min="10" max="10" width="1.36328125" customWidth="1"/>
    <col min="11" max="11" width="1.90625" customWidth="1"/>
    <col min="12" max="12" width="8.7265625" hidden="1" customWidth="1"/>
    <col min="13" max="13" width="1.453125" customWidth="1"/>
    <col min="14" max="14" width="29.36328125" bestFit="1" customWidth="1"/>
    <col min="15" max="15" width="14.26953125" customWidth="1"/>
    <col min="16" max="16" width="2" customWidth="1"/>
    <col min="18" max="18" width="12" bestFit="1" customWidth="1"/>
  </cols>
  <sheetData>
    <row r="1" spans="2:16" s="165" customFormat="1" ht="11" customHeight="1" x14ac:dyDescent="0.35"/>
    <row r="2" spans="2:16" s="165" customFormat="1" ht="22.5" customHeight="1" x14ac:dyDescent="0.35">
      <c r="C2" s="166" t="s">
        <v>66</v>
      </c>
    </row>
    <row r="3" spans="2:16" s="165" customFormat="1" ht="11" customHeight="1" x14ac:dyDescent="0.35"/>
    <row r="4" spans="2:16" ht="11" customHeight="1" x14ac:dyDescent="0.35"/>
    <row r="5" spans="2:16" ht="15.5" x14ac:dyDescent="0.35">
      <c r="B5" s="159"/>
      <c r="C5" s="164" t="s">
        <v>64</v>
      </c>
      <c r="D5" s="165"/>
      <c r="E5" s="159"/>
      <c r="G5" s="159"/>
      <c r="H5" s="164" t="s">
        <v>65</v>
      </c>
      <c r="I5" s="165"/>
      <c r="J5" s="159"/>
      <c r="M5" s="159"/>
      <c r="N5" s="164" t="s">
        <v>63</v>
      </c>
      <c r="O5" s="165"/>
      <c r="P5" s="159"/>
    </row>
    <row r="6" spans="2:16" x14ac:dyDescent="0.35">
      <c r="B6" s="159"/>
      <c r="E6" s="159"/>
      <c r="G6" s="159"/>
      <c r="J6" s="159"/>
      <c r="M6" s="159"/>
      <c r="P6" s="159"/>
    </row>
    <row r="7" spans="2:16" ht="21" x14ac:dyDescent="0.5">
      <c r="B7" s="159"/>
      <c r="C7" s="2" t="s">
        <v>36</v>
      </c>
      <c r="E7" s="159"/>
      <c r="G7" s="159"/>
      <c r="H7" s="2" t="s">
        <v>36</v>
      </c>
      <c r="J7" s="159"/>
      <c r="M7" s="159"/>
      <c r="N7" s="2" t="s">
        <v>36</v>
      </c>
      <c r="P7" s="159"/>
    </row>
    <row r="8" spans="2:16" x14ac:dyDescent="0.35">
      <c r="B8" s="159"/>
      <c r="C8" s="9" t="s">
        <v>110</v>
      </c>
      <c r="D8" s="11">
        <f>Portfolio!D31</f>
        <v>2000000</v>
      </c>
      <c r="E8" s="159"/>
      <c r="G8" s="159"/>
      <c r="H8" s="9" t="s">
        <v>37</v>
      </c>
      <c r="I8" s="11">
        <f>Portfolio!D59</f>
        <v>2000000</v>
      </c>
      <c r="J8" s="159"/>
      <c r="M8" s="159"/>
      <c r="N8" s="9" t="s">
        <v>37</v>
      </c>
      <c r="O8" s="11">
        <f>Portfolio!D96</f>
        <v>7000000</v>
      </c>
      <c r="P8" s="159"/>
    </row>
    <row r="9" spans="2:16" x14ac:dyDescent="0.35">
      <c r="B9" s="159"/>
      <c r="C9" s="9" t="s">
        <v>38</v>
      </c>
      <c r="D9" s="85">
        <f>D30</f>
        <v>7.0000000000000007E-2</v>
      </c>
      <c r="E9" s="159"/>
      <c r="G9" s="159"/>
      <c r="H9" s="9" t="s">
        <v>38</v>
      </c>
      <c r="I9" s="85">
        <f>D32</f>
        <v>7.0000000000000007E-2</v>
      </c>
      <c r="J9" s="159"/>
      <c r="M9" s="159"/>
      <c r="N9" s="9" t="s">
        <v>38</v>
      </c>
      <c r="O9" s="85">
        <f>D34</f>
        <v>0.08</v>
      </c>
      <c r="P9" s="159"/>
    </row>
    <row r="10" spans="2:16" x14ac:dyDescent="0.35">
      <c r="B10" s="159"/>
      <c r="C10" s="9" t="s">
        <v>39</v>
      </c>
      <c r="D10" s="12">
        <f>Portfolio!D29</f>
        <v>16</v>
      </c>
      <c r="E10" s="159"/>
      <c r="G10" s="159"/>
      <c r="H10" s="9" t="s">
        <v>39</v>
      </c>
      <c r="I10" s="12">
        <f>Portfolio!D62</f>
        <v>25</v>
      </c>
      <c r="J10" s="159"/>
      <c r="M10" s="159"/>
      <c r="N10" s="9" t="s">
        <v>39</v>
      </c>
      <c r="O10" s="12">
        <f>Portfolio!D95</f>
        <v>10</v>
      </c>
      <c r="P10" s="159"/>
    </row>
    <row r="11" spans="2:16" x14ac:dyDescent="0.35">
      <c r="B11" s="159"/>
      <c r="E11" s="159"/>
      <c r="G11" s="159"/>
      <c r="J11" s="159"/>
      <c r="M11" s="159"/>
      <c r="P11" s="159"/>
    </row>
    <row r="12" spans="2:16" x14ac:dyDescent="0.35">
      <c r="B12" s="159"/>
      <c r="C12" s="76" t="s">
        <v>40</v>
      </c>
      <c r="D12" s="13">
        <f>D8*(1+D9)^D10</f>
        <v>5904327.4971308149</v>
      </c>
      <c r="E12" s="159"/>
      <c r="G12" s="159"/>
      <c r="H12" s="76" t="s">
        <v>40</v>
      </c>
      <c r="I12" s="13">
        <f>I8*(1+I9)^I10</f>
        <v>10854865.280245783</v>
      </c>
      <c r="J12" s="159"/>
      <c r="M12" s="159"/>
      <c r="N12" s="76" t="s">
        <v>40</v>
      </c>
      <c r="O12" s="13">
        <f>O8*(1+O9)^O10</f>
        <v>15112474.980909515</v>
      </c>
      <c r="P12" s="159"/>
    </row>
    <row r="13" spans="2:16" x14ac:dyDescent="0.35">
      <c r="B13" s="159"/>
      <c r="E13" s="159"/>
      <c r="G13" s="159"/>
      <c r="J13" s="159"/>
      <c r="M13" s="159"/>
      <c r="P13" s="159"/>
    </row>
    <row r="14" spans="2:16" ht="21" x14ac:dyDescent="0.5">
      <c r="B14" s="159"/>
      <c r="C14" s="2" t="s">
        <v>41</v>
      </c>
      <c r="E14" s="159"/>
      <c r="G14" s="159"/>
      <c r="H14" s="2" t="s">
        <v>41</v>
      </c>
      <c r="J14" s="159"/>
      <c r="M14" s="159"/>
      <c r="N14" s="2" t="s">
        <v>41</v>
      </c>
      <c r="P14" s="159"/>
    </row>
    <row r="15" spans="2:16" x14ac:dyDescent="0.35">
      <c r="B15" s="159"/>
      <c r="C15" s="9" t="s">
        <v>42</v>
      </c>
      <c r="D15" s="14">
        <f>Portfolio!D43</f>
        <v>8000</v>
      </c>
      <c r="E15" s="159"/>
      <c r="G15" s="159"/>
      <c r="H15" s="9" t="s">
        <v>42</v>
      </c>
      <c r="I15" s="14">
        <f>Portfolio!D77</f>
        <v>3500</v>
      </c>
      <c r="J15" s="159"/>
      <c r="M15" s="159"/>
      <c r="O15" s="14"/>
      <c r="P15" s="159"/>
    </row>
    <row r="16" spans="2:16" x14ac:dyDescent="0.35">
      <c r="B16" s="159"/>
      <c r="C16" s="9" t="s">
        <v>39</v>
      </c>
      <c r="D16" s="15">
        <f>Portfolio!D30</f>
        <v>14</v>
      </c>
      <c r="E16" s="159"/>
      <c r="G16" s="159"/>
      <c r="H16" s="9" t="s">
        <v>39</v>
      </c>
      <c r="I16" s="15">
        <f>Portfolio!D63</f>
        <v>23</v>
      </c>
      <c r="J16" s="159"/>
      <c r="M16" s="159"/>
      <c r="N16" s="104" t="s">
        <v>123</v>
      </c>
      <c r="O16" s="70"/>
      <c r="P16" s="159"/>
    </row>
    <row r="17" spans="2:16" x14ac:dyDescent="0.35">
      <c r="B17" s="159"/>
      <c r="C17" s="9" t="s">
        <v>43</v>
      </c>
      <c r="D17" s="16">
        <f>D31</f>
        <v>0.17</v>
      </c>
      <c r="E17" s="159"/>
      <c r="G17" s="159"/>
      <c r="H17" s="9" t="s">
        <v>43</v>
      </c>
      <c r="I17" s="16">
        <f>D33</f>
        <v>0.16</v>
      </c>
      <c r="J17" s="159"/>
      <c r="M17" s="159"/>
      <c r="O17" s="16"/>
      <c r="P17" s="159"/>
    </row>
    <row r="18" spans="2:16" x14ac:dyDescent="0.35">
      <c r="B18" s="159"/>
      <c r="C18" s="9" t="s">
        <v>44</v>
      </c>
      <c r="D18">
        <f>D16*12</f>
        <v>168</v>
      </c>
      <c r="E18" s="159"/>
      <c r="G18" s="159"/>
      <c r="H18" s="9" t="s">
        <v>44</v>
      </c>
      <c r="I18">
        <f>I16*12</f>
        <v>276</v>
      </c>
      <c r="J18" s="159"/>
      <c r="M18" s="159"/>
      <c r="P18" s="159"/>
    </row>
    <row r="19" spans="2:16" x14ac:dyDescent="0.35">
      <c r="B19" s="159"/>
      <c r="C19" s="9" t="s">
        <v>45</v>
      </c>
      <c r="D19" s="17">
        <f>D17/12</f>
        <v>1.4166666666666668E-2</v>
      </c>
      <c r="E19" s="159"/>
      <c r="G19" s="159"/>
      <c r="H19" s="9" t="s">
        <v>45</v>
      </c>
      <c r="I19" s="17">
        <f>I17/12</f>
        <v>1.3333333333333334E-2</v>
      </c>
      <c r="J19" s="159"/>
      <c r="M19" s="159"/>
      <c r="O19" s="103"/>
      <c r="P19" s="159"/>
    </row>
    <row r="20" spans="2:16" x14ac:dyDescent="0.35">
      <c r="B20" s="159"/>
      <c r="E20" s="159"/>
      <c r="G20" s="159"/>
      <c r="J20" s="159"/>
      <c r="M20" s="159"/>
      <c r="P20" s="159"/>
    </row>
    <row r="21" spans="2:16" x14ac:dyDescent="0.35">
      <c r="B21" s="159"/>
      <c r="C21" s="83" t="s">
        <v>46</v>
      </c>
      <c r="D21" s="13">
        <f>D15*((1+D19)^D18-1)*(1+D19)/D19</f>
        <v>5512838.7295016237</v>
      </c>
      <c r="E21" s="159"/>
      <c r="G21" s="159"/>
      <c r="H21" s="83" t="s">
        <v>46</v>
      </c>
      <c r="I21" s="13">
        <f>I15*((1+I19)^I18-1)*(1+I19)/I19</f>
        <v>10026583.762181399</v>
      </c>
      <c r="J21" s="159"/>
      <c r="M21" s="159"/>
      <c r="N21" s="71"/>
      <c r="O21" s="13"/>
      <c r="P21" s="159"/>
    </row>
    <row r="22" spans="2:16" x14ac:dyDescent="0.35">
      <c r="B22" s="159"/>
      <c r="E22" s="159"/>
      <c r="G22" s="159"/>
      <c r="J22" s="159"/>
      <c r="M22" s="159"/>
      <c r="P22" s="159"/>
    </row>
    <row r="23" spans="2:16" x14ac:dyDescent="0.35">
      <c r="B23" s="159"/>
      <c r="C23" s="18" t="s">
        <v>47</v>
      </c>
      <c r="D23" s="11">
        <f>D15*D18</f>
        <v>1344000</v>
      </c>
      <c r="E23" s="159"/>
      <c r="G23" s="159"/>
      <c r="H23" s="18" t="s">
        <v>47</v>
      </c>
      <c r="I23" s="11">
        <f>I15*I18</f>
        <v>966000</v>
      </c>
      <c r="J23" s="159"/>
      <c r="M23" s="159"/>
      <c r="N23" s="73"/>
      <c r="O23" s="14"/>
      <c r="P23" s="159"/>
    </row>
    <row r="24" spans="2:16" ht="14.5" customHeight="1" x14ac:dyDescent="0.35">
      <c r="B24" s="159"/>
      <c r="C24" s="208" t="s">
        <v>48</v>
      </c>
      <c r="D24" s="207">
        <f>D21-D23</f>
        <v>4168838.7295016237</v>
      </c>
      <c r="E24" s="159"/>
      <c r="G24" s="159"/>
      <c r="H24" s="208" t="s">
        <v>48</v>
      </c>
      <c r="I24" s="207">
        <f>I21-I23</f>
        <v>9060583.7621813994</v>
      </c>
      <c r="J24" s="159"/>
      <c r="M24" s="159"/>
      <c r="N24" s="208"/>
      <c r="O24" s="207"/>
      <c r="P24" s="159"/>
    </row>
    <row r="25" spans="2:16" ht="14.5" customHeight="1" x14ac:dyDescent="0.35">
      <c r="B25" s="159"/>
      <c r="C25" s="208"/>
      <c r="D25" s="207"/>
      <c r="E25" s="159"/>
      <c r="G25" s="159"/>
      <c r="H25" s="208"/>
      <c r="I25" s="207"/>
      <c r="J25" s="159"/>
      <c r="M25" s="159"/>
      <c r="N25" s="208"/>
      <c r="O25" s="207"/>
      <c r="P25" s="159"/>
    </row>
    <row r="28" spans="2:16" x14ac:dyDescent="0.35">
      <c r="C28" s="167" t="s">
        <v>111</v>
      </c>
      <c r="D28" s="165"/>
    </row>
    <row r="29" spans="2:16" ht="15.5" x14ac:dyDescent="0.35">
      <c r="C29" t="s">
        <v>35</v>
      </c>
      <c r="D29" s="43">
        <v>0.06</v>
      </c>
      <c r="N29" s="68"/>
      <c r="O29" s="69"/>
    </row>
    <row r="30" spans="2:16" x14ac:dyDescent="0.35">
      <c r="C30" s="9" t="s">
        <v>112</v>
      </c>
      <c r="D30" s="19">
        <v>7.0000000000000007E-2</v>
      </c>
    </row>
    <row r="31" spans="2:16" x14ac:dyDescent="0.35">
      <c r="C31" s="9" t="s">
        <v>115</v>
      </c>
      <c r="D31" s="19">
        <v>0.17</v>
      </c>
    </row>
    <row r="32" spans="2:16" ht="21" x14ac:dyDescent="0.5">
      <c r="C32" t="s">
        <v>113</v>
      </c>
      <c r="D32" s="43">
        <v>7.0000000000000007E-2</v>
      </c>
      <c r="N32" s="2"/>
    </row>
    <row r="33" spans="3:18" ht="21" x14ac:dyDescent="0.5">
      <c r="C33" t="s">
        <v>117</v>
      </c>
      <c r="D33" s="43">
        <v>0.16</v>
      </c>
      <c r="N33" s="2"/>
    </row>
    <row r="34" spans="3:18" x14ac:dyDescent="0.35">
      <c r="C34" s="9" t="s">
        <v>114</v>
      </c>
      <c r="D34" s="19">
        <v>0.08</v>
      </c>
      <c r="O34" s="14"/>
    </row>
    <row r="35" spans="3:18" x14ac:dyDescent="0.35">
      <c r="C35" s="9" t="s">
        <v>116</v>
      </c>
      <c r="D35" s="19">
        <v>0.17</v>
      </c>
      <c r="O35" s="43"/>
    </row>
    <row r="36" spans="3:18" x14ac:dyDescent="0.35">
      <c r="C36" s="5" t="s">
        <v>118</v>
      </c>
      <c r="D36" s="86">
        <v>0.1</v>
      </c>
      <c r="O36" s="70"/>
    </row>
    <row r="38" spans="3:18" x14ac:dyDescent="0.35">
      <c r="N38" s="71"/>
      <c r="O38" s="13"/>
    </row>
    <row r="40" spans="3:18" ht="21" x14ac:dyDescent="0.5">
      <c r="N40" s="2"/>
    </row>
    <row r="41" spans="3:18" x14ac:dyDescent="0.35">
      <c r="O41" s="14"/>
    </row>
    <row r="42" spans="3:18" x14ac:dyDescent="0.35">
      <c r="O42" s="70"/>
    </row>
    <row r="43" spans="3:18" x14ac:dyDescent="0.35">
      <c r="O43" s="16"/>
    </row>
    <row r="45" spans="3:18" x14ac:dyDescent="0.35">
      <c r="O45" s="72"/>
    </row>
    <row r="47" spans="3:18" x14ac:dyDescent="0.35">
      <c r="N47" s="71"/>
      <c r="O47" s="13"/>
      <c r="R47" s="14"/>
    </row>
    <row r="49" spans="14:15" x14ac:dyDescent="0.35">
      <c r="N49" s="73"/>
      <c r="O49" s="14"/>
    </row>
    <row r="50" spans="14:15" x14ac:dyDescent="0.35">
      <c r="N50" s="205"/>
      <c r="O50" s="206"/>
    </row>
    <row r="51" spans="14:15" x14ac:dyDescent="0.35">
      <c r="N51" s="205"/>
      <c r="O51" s="206"/>
    </row>
  </sheetData>
  <mergeCells count="8">
    <mergeCell ref="N50:N51"/>
    <mergeCell ref="O50:O51"/>
    <mergeCell ref="O24:O25"/>
    <mergeCell ref="C24:C25"/>
    <mergeCell ref="D24:D25"/>
    <mergeCell ref="H24:H25"/>
    <mergeCell ref="I24:I25"/>
    <mergeCell ref="N24:N25"/>
  </mergeCells>
  <hyperlinks>
    <hyperlink ref="N16" location="'Salary projection'!A1" display=" Salary Projection Sheet" xr:uid="{D02F648D-F980-4D47-B41C-F7068ECC1B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ECAC-06E1-4CF7-9B62-411ACEE734BD}">
  <dimension ref="B2:AC31"/>
  <sheetViews>
    <sheetView showGridLines="0" zoomScale="7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U2" sqref="U2:W2"/>
    </sheetView>
  </sheetViews>
  <sheetFormatPr defaultRowHeight="14.5" x14ac:dyDescent="0.35"/>
  <cols>
    <col min="1" max="1" width="4.26953125" customWidth="1"/>
    <col min="2" max="5" width="2.81640625" customWidth="1"/>
    <col min="6" max="6" width="2.81640625" hidden="1" customWidth="1"/>
    <col min="13" max="13" width="16.54296875" customWidth="1"/>
    <col min="14" max="14" width="0" hidden="1" customWidth="1"/>
    <col min="15" max="15" width="2.08984375" customWidth="1"/>
    <col min="16" max="17" width="16.1796875" customWidth="1"/>
    <col min="18" max="18" width="11.81640625" customWidth="1"/>
    <col min="19" max="19" width="11.81640625" bestFit="1" customWidth="1"/>
    <col min="20" max="20" width="1.36328125" customWidth="1"/>
    <col min="21" max="21" width="12" customWidth="1"/>
    <col min="23" max="23" width="8.7265625" customWidth="1"/>
    <col min="24" max="24" width="1.36328125" customWidth="1"/>
    <col min="25" max="25" width="12.08984375" customWidth="1"/>
    <col min="26" max="26" width="8.81640625" customWidth="1"/>
    <col min="28" max="28" width="1.08984375" customWidth="1"/>
    <col min="29" max="29" width="16.453125" customWidth="1"/>
  </cols>
  <sheetData>
    <row r="2" spans="2:29" ht="18.5" customHeight="1" x14ac:dyDescent="0.45"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79"/>
      <c r="P2" s="214" t="s">
        <v>63</v>
      </c>
      <c r="Q2" s="215"/>
      <c r="R2" s="215"/>
      <c r="S2" s="216"/>
      <c r="U2" s="214" t="s">
        <v>64</v>
      </c>
      <c r="V2" s="215"/>
      <c r="W2" s="216"/>
      <c r="Y2" s="214" t="s">
        <v>65</v>
      </c>
      <c r="Z2" s="215"/>
      <c r="AA2" s="216"/>
    </row>
    <row r="3" spans="2:29" ht="44.5" customHeight="1" x14ac:dyDescent="0.35">
      <c r="B3" s="102"/>
      <c r="C3" s="102"/>
      <c r="D3" s="102"/>
      <c r="E3" s="102"/>
      <c r="F3" s="102"/>
      <c r="G3" s="102"/>
      <c r="H3" s="213"/>
      <c r="I3" s="213"/>
      <c r="J3" s="213"/>
      <c r="K3" s="213"/>
      <c r="L3" s="213"/>
      <c r="M3" s="213"/>
      <c r="N3" s="102"/>
      <c r="O3" s="79"/>
      <c r="P3" s="126" t="s">
        <v>121</v>
      </c>
      <c r="Q3" s="127"/>
      <c r="R3" s="217">
        <v>0.7</v>
      </c>
      <c r="S3" s="218"/>
      <c r="U3" s="221" t="s">
        <v>109</v>
      </c>
      <c r="V3" s="222">
        <f>'Calculation &amp; Assumption'!D31</f>
        <v>0.17</v>
      </c>
      <c r="W3" s="223"/>
      <c r="Y3" s="221" t="s">
        <v>109</v>
      </c>
      <c r="Z3" s="222">
        <f>'Calculation &amp; Assumption'!D33</f>
        <v>0.16</v>
      </c>
      <c r="AA3" s="223"/>
    </row>
    <row r="4" spans="2:29" x14ac:dyDescent="0.35">
      <c r="O4" s="79"/>
      <c r="P4" s="128" t="s">
        <v>109</v>
      </c>
      <c r="Q4" s="22"/>
      <c r="R4" s="219">
        <f>'Calculation &amp; Assumption'!D35</f>
        <v>0.17</v>
      </c>
      <c r="S4" s="220"/>
      <c r="U4" s="221"/>
      <c r="V4" s="222"/>
      <c r="W4" s="223"/>
      <c r="Y4" s="221"/>
      <c r="Z4" s="222"/>
      <c r="AA4" s="223"/>
    </row>
    <row r="5" spans="2:29" ht="54.5" customHeight="1" x14ac:dyDescent="0.35">
      <c r="B5" s="167"/>
      <c r="C5" s="167"/>
      <c r="D5" s="167"/>
      <c r="E5" s="167"/>
      <c r="F5" s="167"/>
      <c r="G5" s="168" t="s">
        <v>101</v>
      </c>
      <c r="H5" s="168" t="s">
        <v>102</v>
      </c>
      <c r="I5" s="168" t="s">
        <v>104</v>
      </c>
      <c r="J5" s="168" t="s">
        <v>103</v>
      </c>
      <c r="K5" s="168" t="s">
        <v>105</v>
      </c>
      <c r="L5" s="168" t="s">
        <v>106</v>
      </c>
      <c r="M5" s="168" t="s">
        <v>120</v>
      </c>
      <c r="N5" s="168" t="s">
        <v>107</v>
      </c>
      <c r="O5" s="172"/>
      <c r="P5" s="169" t="s">
        <v>42</v>
      </c>
      <c r="Q5" s="168" t="s">
        <v>126</v>
      </c>
      <c r="R5" s="168" t="s">
        <v>119</v>
      </c>
      <c r="S5" s="170" t="s">
        <v>108</v>
      </c>
      <c r="U5" s="169" t="s">
        <v>42</v>
      </c>
      <c r="V5" s="168" t="s">
        <v>119</v>
      </c>
      <c r="W5" s="170" t="s">
        <v>108</v>
      </c>
      <c r="Y5" s="169" t="s">
        <v>42</v>
      </c>
      <c r="Z5" s="168" t="s">
        <v>119</v>
      </c>
      <c r="AA5" s="170" t="s">
        <v>108</v>
      </c>
      <c r="AC5" s="171" t="s">
        <v>122</v>
      </c>
    </row>
    <row r="6" spans="2:29" ht="14.5" customHeight="1" x14ac:dyDescent="0.35">
      <c r="B6" s="226" t="s">
        <v>106</v>
      </c>
      <c r="C6" s="224" t="s">
        <v>63</v>
      </c>
      <c r="D6" s="227" t="s">
        <v>64</v>
      </c>
      <c r="E6" s="225" t="s">
        <v>65</v>
      </c>
      <c r="F6" s="106">
        <v>0</v>
      </c>
      <c r="G6" s="107">
        <v>2025</v>
      </c>
      <c r="H6" s="106">
        <v>100000</v>
      </c>
      <c r="I6" s="106"/>
      <c r="J6" s="106">
        <v>40000</v>
      </c>
      <c r="K6" s="106"/>
      <c r="L6" s="106">
        <v>30000</v>
      </c>
      <c r="M6" s="75">
        <f>H6-SUM(J6,L6)</f>
        <v>30000</v>
      </c>
      <c r="O6" s="78"/>
      <c r="P6" s="3">
        <f>Portfolio!D108</f>
        <v>15500.001</v>
      </c>
      <c r="R6">
        <f t="shared" ref="R6:R16" si="0">P6*12</f>
        <v>186000.01199999999</v>
      </c>
      <c r="S6" s="129">
        <f t="shared" ref="S6:S16" si="1">R6*(1+$R$4)^($F$16-F6)</f>
        <v>894070.13808147062</v>
      </c>
      <c r="T6" s="75"/>
      <c r="U6" s="3">
        <f>Portfolio!D43</f>
        <v>8000</v>
      </c>
      <c r="V6">
        <f>U6*12</f>
        <v>96000</v>
      </c>
      <c r="W6" s="129">
        <f t="shared" ref="W6:W20" si="2">V6*(1+$V$3)^($F$20-F6)</f>
        <v>864715.60696998739</v>
      </c>
      <c r="Y6" s="3">
        <f>Portfolio!D77</f>
        <v>3500</v>
      </c>
      <c r="Z6">
        <f>Y6*12</f>
        <v>42000</v>
      </c>
      <c r="AA6" s="129">
        <f t="shared" ref="AA6:AA29" si="3">Z6*(1+$Z$3)^($F$29-F6)</f>
        <v>1275801.3066696681</v>
      </c>
      <c r="AC6" s="142">
        <f t="shared" ref="AC6:AC29" si="4">H6-SUM(J6,L6,P6,U6,Y6)</f>
        <v>2999.9989999999962</v>
      </c>
    </row>
    <row r="7" spans="2:29" x14ac:dyDescent="0.35">
      <c r="B7" s="226"/>
      <c r="C7" s="224"/>
      <c r="D7" s="227"/>
      <c r="E7" s="225"/>
      <c r="F7">
        <f>F6+1</f>
        <v>1</v>
      </c>
      <c r="G7" s="108">
        <f>G6+1</f>
        <v>2026</v>
      </c>
      <c r="H7" s="75">
        <f>H6*(1+I7)</f>
        <v>108000</v>
      </c>
      <c r="I7" s="74">
        <v>8.0000000000000029E-2</v>
      </c>
      <c r="J7" s="75">
        <f>J6*(1+K7)</f>
        <v>41200</v>
      </c>
      <c r="K7" s="74">
        <v>2.9999999999999995E-2</v>
      </c>
      <c r="L7">
        <v>30000</v>
      </c>
      <c r="M7" s="75">
        <f t="shared" ref="M7:M31" si="5">H7-SUM(J7,L7)</f>
        <v>36800</v>
      </c>
      <c r="N7" s="77">
        <f>M7/M6-1</f>
        <v>0.22666666666666657</v>
      </c>
      <c r="O7" s="78"/>
      <c r="P7" s="130">
        <f t="shared" ref="P7:P16" si="6">P6*(1+Q7)</f>
        <v>19375.001250000001</v>
      </c>
      <c r="Q7" s="74">
        <v>0.25</v>
      </c>
      <c r="R7">
        <f t="shared" si="0"/>
        <v>232500.01500000001</v>
      </c>
      <c r="S7" s="129">
        <f t="shared" si="1"/>
        <v>955203.13897593017</v>
      </c>
      <c r="T7" s="75"/>
      <c r="U7" s="3">
        <f>U6</f>
        <v>8000</v>
      </c>
      <c r="V7">
        <f t="shared" ref="V7:V20" si="7">U7*12</f>
        <v>96000</v>
      </c>
      <c r="W7" s="129">
        <f t="shared" si="2"/>
        <v>739073.16835041658</v>
      </c>
      <c r="Y7" s="3">
        <f>Y6</f>
        <v>3500</v>
      </c>
      <c r="Z7">
        <f t="shared" ref="Z7:Z29" si="8">Y7*12</f>
        <v>42000</v>
      </c>
      <c r="AA7" s="129">
        <f t="shared" si="3"/>
        <v>1099828.7126462657</v>
      </c>
      <c r="AC7" s="142">
        <f t="shared" si="4"/>
        <v>5924.9987499999988</v>
      </c>
    </row>
    <row r="8" spans="2:29" x14ac:dyDescent="0.35">
      <c r="B8" s="226"/>
      <c r="C8" s="224"/>
      <c r="D8" s="227"/>
      <c r="E8" s="225"/>
      <c r="F8">
        <f t="shared" ref="F8:F31" si="9">F7+1</f>
        <v>2</v>
      </c>
      <c r="G8" s="108">
        <f t="shared" ref="G8:G31" si="10">G7+1</f>
        <v>2027</v>
      </c>
      <c r="H8" s="75">
        <f t="shared" ref="H8:H31" si="11">H7*(1+I8)</f>
        <v>116720.70628639757</v>
      </c>
      <c r="I8" s="74">
        <v>8.0747280429607327E-2</v>
      </c>
      <c r="J8" s="75">
        <f t="shared" ref="J8:J31" si="12">J7*(1+K8)</f>
        <v>42472.217564491351</v>
      </c>
      <c r="K8" s="74">
        <v>3.0879067099304755E-2</v>
      </c>
      <c r="L8">
        <v>30000</v>
      </c>
      <c r="M8" s="75">
        <f t="shared" si="5"/>
        <v>44248.488721906222</v>
      </c>
      <c r="N8" s="77">
        <f t="shared" ref="N8:N31" si="13">M8/M7-1</f>
        <v>0.20240458483440826</v>
      </c>
      <c r="O8" s="78"/>
      <c r="P8" s="130">
        <f t="shared" si="6"/>
        <v>24317.876663579904</v>
      </c>
      <c r="Q8" s="74">
        <v>0.25511613391921212</v>
      </c>
      <c r="R8" s="75">
        <f t="shared" si="0"/>
        <v>291814.51996295888</v>
      </c>
      <c r="S8" s="129">
        <f t="shared" si="1"/>
        <v>1024693.0520503981</v>
      </c>
      <c r="T8" s="75"/>
      <c r="U8" s="3">
        <f t="shared" ref="U8:U20" si="14">U7</f>
        <v>8000</v>
      </c>
      <c r="V8">
        <f t="shared" si="7"/>
        <v>96000</v>
      </c>
      <c r="W8" s="129">
        <f t="shared" si="2"/>
        <v>631686.46867556975</v>
      </c>
      <c r="Y8" s="3">
        <f t="shared" ref="Y8:Y29" si="15">Y7</f>
        <v>3500</v>
      </c>
      <c r="Z8">
        <f t="shared" si="8"/>
        <v>42000</v>
      </c>
      <c r="AA8" s="129">
        <f t="shared" si="3"/>
        <v>948128.20055712562</v>
      </c>
      <c r="AC8" s="143">
        <f t="shared" si="4"/>
        <v>8430.6120583263255</v>
      </c>
    </row>
    <row r="9" spans="2:29" x14ac:dyDescent="0.35">
      <c r="B9" s="226"/>
      <c r="C9" s="224"/>
      <c r="D9" s="227"/>
      <c r="E9" s="225"/>
      <c r="F9">
        <f t="shared" si="9"/>
        <v>3</v>
      </c>
      <c r="G9" s="108">
        <f t="shared" si="10"/>
        <v>2028</v>
      </c>
      <c r="H9" s="75">
        <f t="shared" si="11"/>
        <v>126233.6237398261</v>
      </c>
      <c r="I9" s="74">
        <v>8.1501541209720543E-2</v>
      </c>
      <c r="J9" s="75">
        <f t="shared" si="12"/>
        <v>43822.149975846667</v>
      </c>
      <c r="K9" s="74">
        <v>3.178389283077885E-2</v>
      </c>
      <c r="L9">
        <v>30000</v>
      </c>
      <c r="M9" s="75">
        <f t="shared" si="5"/>
        <v>52411.473763979433</v>
      </c>
      <c r="N9" s="77">
        <f t="shared" si="13"/>
        <v>0.18448053883548665</v>
      </c>
      <c r="O9" s="78"/>
      <c r="P9" s="130">
        <f t="shared" si="6"/>
        <v>30648.718921546995</v>
      </c>
      <c r="Q9" s="74">
        <v>0.26033696714354138</v>
      </c>
      <c r="R9" s="75">
        <f t="shared" si="0"/>
        <v>367784.62705856393</v>
      </c>
      <c r="S9" s="129">
        <f t="shared" si="1"/>
        <v>1103810.7123711603</v>
      </c>
      <c r="T9" s="75"/>
      <c r="U9" s="3">
        <f t="shared" si="14"/>
        <v>8000</v>
      </c>
      <c r="V9">
        <f t="shared" si="7"/>
        <v>96000</v>
      </c>
      <c r="W9" s="129">
        <f t="shared" si="2"/>
        <v>539902.96467997425</v>
      </c>
      <c r="Y9" s="3">
        <f t="shared" si="15"/>
        <v>3500</v>
      </c>
      <c r="Z9">
        <f t="shared" si="8"/>
        <v>42000</v>
      </c>
      <c r="AA9" s="129">
        <f t="shared" si="3"/>
        <v>817351.89703200478</v>
      </c>
      <c r="AC9" s="143">
        <f t="shared" si="4"/>
        <v>10262.754842432434</v>
      </c>
    </row>
    <row r="10" spans="2:29" x14ac:dyDescent="0.35">
      <c r="B10" s="226"/>
      <c r="C10" s="224"/>
      <c r="D10" s="227"/>
      <c r="E10" s="225"/>
      <c r="F10">
        <f t="shared" si="9"/>
        <v>4</v>
      </c>
      <c r="G10" s="108">
        <f t="shared" si="10"/>
        <v>2029</v>
      </c>
      <c r="H10" s="75">
        <f t="shared" si="11"/>
        <v>136617.96108444076</v>
      </c>
      <c r="I10" s="74">
        <v>8.2262847543831244E-2</v>
      </c>
      <c r="J10" s="75">
        <f t="shared" si="12"/>
        <v>45255.801778166991</v>
      </c>
      <c r="K10" s="74">
        <v>3.2715231979957723E-2</v>
      </c>
      <c r="L10">
        <v>30000</v>
      </c>
      <c r="M10" s="75">
        <f t="shared" si="5"/>
        <v>61362.159306273767</v>
      </c>
      <c r="N10" s="77">
        <f t="shared" si="13"/>
        <v>0.17077721535939383</v>
      </c>
      <c r="O10" s="78"/>
      <c r="P10" s="130">
        <f t="shared" si="6"/>
        <v>38790.999870659783</v>
      </c>
      <c r="Q10" s="74">
        <v>0.2656646422956529</v>
      </c>
      <c r="R10" s="75">
        <f t="shared" si="0"/>
        <v>465491.9984479174</v>
      </c>
      <c r="S10" s="129">
        <f t="shared" si="1"/>
        <v>1194063.4106285081</v>
      </c>
      <c r="T10" s="75"/>
      <c r="U10" s="3">
        <f t="shared" si="14"/>
        <v>8000</v>
      </c>
      <c r="V10">
        <f t="shared" si="7"/>
        <v>96000</v>
      </c>
      <c r="W10" s="129">
        <f t="shared" si="2"/>
        <v>461455.52536749939</v>
      </c>
      <c r="Y10" s="3">
        <f t="shared" si="15"/>
        <v>3500</v>
      </c>
      <c r="Z10">
        <f t="shared" si="8"/>
        <v>42000</v>
      </c>
      <c r="AA10" s="129">
        <f t="shared" si="3"/>
        <v>704613.7043379352</v>
      </c>
      <c r="AC10" s="143">
        <f t="shared" si="4"/>
        <v>11071.159435613983</v>
      </c>
    </row>
    <row r="11" spans="2:29" ht="15" thickBot="1" x14ac:dyDescent="0.4">
      <c r="B11" s="226"/>
      <c r="C11" s="224"/>
      <c r="D11" s="227"/>
      <c r="E11" s="225"/>
      <c r="F11" s="87">
        <f t="shared" si="9"/>
        <v>5</v>
      </c>
      <c r="G11" s="109">
        <f t="shared" si="10"/>
        <v>2030</v>
      </c>
      <c r="H11" s="88">
        <f t="shared" si="11"/>
        <v>147961.52324840534</v>
      </c>
      <c r="I11" s="89">
        <v>8.3031265244497166E-2</v>
      </c>
      <c r="J11" s="88">
        <f t="shared" si="12"/>
        <v>46779.739377021113</v>
      </c>
      <c r="K11" s="89">
        <v>3.3673861449281188E-2</v>
      </c>
      <c r="L11" s="87"/>
      <c r="M11" s="88">
        <f t="shared" si="5"/>
        <v>101181.78387138422</v>
      </c>
      <c r="N11" s="90">
        <f t="shared" si="13"/>
        <v>0.64892802038404196</v>
      </c>
      <c r="O11" s="91"/>
      <c r="P11" s="131">
        <f t="shared" si="6"/>
        <v>49307.292142307255</v>
      </c>
      <c r="Q11" s="89">
        <v>0.27110134584598944</v>
      </c>
      <c r="R11" s="88">
        <f t="shared" si="0"/>
        <v>591687.505707687</v>
      </c>
      <c r="S11" s="132">
        <f t="shared" si="1"/>
        <v>1297244.1096370504</v>
      </c>
      <c r="T11" s="88"/>
      <c r="U11" s="136">
        <f t="shared" si="14"/>
        <v>8000</v>
      </c>
      <c r="V11" s="87">
        <f t="shared" si="7"/>
        <v>96000</v>
      </c>
      <c r="W11" s="132">
        <f t="shared" si="2"/>
        <v>394406.43193803361</v>
      </c>
      <c r="X11" s="87"/>
      <c r="Y11" s="136">
        <f t="shared" si="15"/>
        <v>3500</v>
      </c>
      <c r="Z11" s="87">
        <f t="shared" si="8"/>
        <v>42000</v>
      </c>
      <c r="AA11" s="132">
        <f t="shared" si="3"/>
        <v>607425.6071878752</v>
      </c>
      <c r="AB11" s="87"/>
      <c r="AC11" s="144">
        <f t="shared" si="4"/>
        <v>40374.491729076981</v>
      </c>
    </row>
    <row r="12" spans="2:29" x14ac:dyDescent="0.35">
      <c r="C12" s="224"/>
      <c r="D12" s="227"/>
      <c r="E12" s="225"/>
      <c r="F12">
        <f t="shared" si="9"/>
        <v>6</v>
      </c>
      <c r="G12" s="108">
        <f t="shared" si="10"/>
        <v>2031</v>
      </c>
      <c r="H12" s="75">
        <f t="shared" si="11"/>
        <v>160361.71402201941</v>
      </c>
      <c r="I12" s="74">
        <v>8.3806860739031472E-2</v>
      </c>
      <c r="J12" s="75">
        <f t="shared" si="12"/>
        <v>48401.152318467815</v>
      </c>
      <c r="K12" s="74">
        <v>3.4660580906168185E-2</v>
      </c>
      <c r="M12" s="75">
        <f t="shared" si="5"/>
        <v>111960.56170355159</v>
      </c>
      <c r="N12" s="77">
        <f t="shared" si="13"/>
        <v>0.10652883769936938</v>
      </c>
      <c r="O12" s="78"/>
      <c r="P12" s="130">
        <f t="shared" si="6"/>
        <v>62948.120442635511</v>
      </c>
      <c r="Q12" s="74">
        <v>0.27664930901009627</v>
      </c>
      <c r="R12" s="75">
        <f t="shared" si="0"/>
        <v>755377.44531162619</v>
      </c>
      <c r="S12" s="129">
        <f t="shared" si="1"/>
        <v>1415492.1334919303</v>
      </c>
      <c r="T12" s="75"/>
      <c r="U12" s="3">
        <f t="shared" si="14"/>
        <v>8000</v>
      </c>
      <c r="V12">
        <f t="shared" si="7"/>
        <v>96000</v>
      </c>
      <c r="W12" s="129">
        <f t="shared" si="2"/>
        <v>337099.51447695185</v>
      </c>
      <c r="Y12" s="3">
        <f t="shared" si="15"/>
        <v>3500</v>
      </c>
      <c r="Z12">
        <f t="shared" si="8"/>
        <v>42000</v>
      </c>
      <c r="AA12" s="129">
        <f t="shared" si="3"/>
        <v>523642.76481713384</v>
      </c>
      <c r="AC12" s="143">
        <f t="shared" si="4"/>
        <v>37512.441260916094</v>
      </c>
    </row>
    <row r="13" spans="2:29" x14ac:dyDescent="0.35">
      <c r="C13" s="224"/>
      <c r="D13" s="227"/>
      <c r="E13" s="225"/>
      <c r="F13">
        <f t="shared" si="9"/>
        <v>7</v>
      </c>
      <c r="G13" s="108">
        <f t="shared" si="10"/>
        <v>2032</v>
      </c>
      <c r="H13" s="75">
        <f t="shared" si="11"/>
        <v>173926.663475056</v>
      </c>
      <c r="I13" s="74">
        <v>8.4589701075245244E-2</v>
      </c>
      <c r="J13" s="75">
        <f t="shared" si="12"/>
        <v>50127.922159811387</v>
      </c>
      <c r="K13" s="74">
        <v>3.5676213450081623E-2</v>
      </c>
      <c r="M13" s="75">
        <f t="shared" si="5"/>
        <v>123798.74131524461</v>
      </c>
      <c r="N13" s="77">
        <f t="shared" si="13"/>
        <v>0.10573526455715787</v>
      </c>
      <c r="O13" s="78"/>
      <c r="P13" s="130">
        <f t="shared" si="6"/>
        <v>80719.05522869424</v>
      </c>
      <c r="Q13" s="74">
        <v>0.28231080866430874</v>
      </c>
      <c r="R13" s="75">
        <f t="shared" si="0"/>
        <v>968628.66274433094</v>
      </c>
      <c r="S13" s="129">
        <f t="shared" si="1"/>
        <v>1551368.2584239359</v>
      </c>
      <c r="T13" s="75"/>
      <c r="U13" s="3">
        <f t="shared" si="14"/>
        <v>8000</v>
      </c>
      <c r="V13">
        <f t="shared" si="7"/>
        <v>96000</v>
      </c>
      <c r="W13" s="129">
        <f t="shared" si="2"/>
        <v>288119.24314269394</v>
      </c>
      <c r="Y13" s="3">
        <f t="shared" si="15"/>
        <v>3500</v>
      </c>
      <c r="Z13">
        <f t="shared" si="8"/>
        <v>42000</v>
      </c>
      <c r="AA13" s="129">
        <f t="shared" si="3"/>
        <v>451416.17656649469</v>
      </c>
      <c r="AC13" s="143">
        <f t="shared" si="4"/>
        <v>31579.686086550384</v>
      </c>
    </row>
    <row r="14" spans="2:29" x14ac:dyDescent="0.35">
      <c r="C14" s="224"/>
      <c r="D14" s="227"/>
      <c r="E14" s="225"/>
      <c r="F14">
        <f t="shared" si="9"/>
        <v>8</v>
      </c>
      <c r="G14" s="108">
        <f t="shared" si="10"/>
        <v>2033</v>
      </c>
      <c r="H14" s="75">
        <f t="shared" si="11"/>
        <v>188776.49659660913</v>
      </c>
      <c r="I14" s="74">
        <v>8.537985392724351E-2</v>
      </c>
      <c r="J14" s="75">
        <f t="shared" si="12"/>
        <v>51968.699981957892</v>
      </c>
      <c r="K14" s="74">
        <v>3.6721606299139647E-2</v>
      </c>
      <c r="M14" s="75">
        <f t="shared" si="5"/>
        <v>136807.79661465122</v>
      </c>
      <c r="N14" s="77">
        <f t="shared" si="13"/>
        <v>0.10508229050794604</v>
      </c>
      <c r="O14" s="78"/>
      <c r="P14" s="130">
        <f t="shared" si="6"/>
        <v>103973.2599948354</v>
      </c>
      <c r="Q14" s="74">
        <v>0.28808816828017941</v>
      </c>
      <c r="R14" s="75">
        <f t="shared" si="0"/>
        <v>1247679.1199380248</v>
      </c>
      <c r="S14" s="129">
        <f t="shared" si="1"/>
        <v>1707947.9472831618</v>
      </c>
      <c r="T14" s="75"/>
      <c r="U14" s="3">
        <f t="shared" si="14"/>
        <v>8000</v>
      </c>
      <c r="V14">
        <f t="shared" si="7"/>
        <v>96000</v>
      </c>
      <c r="W14" s="129">
        <f t="shared" si="2"/>
        <v>246255.76336982392</v>
      </c>
      <c r="Y14" s="3">
        <f t="shared" si="15"/>
        <v>3500</v>
      </c>
      <c r="Z14">
        <f t="shared" si="8"/>
        <v>42000</v>
      </c>
      <c r="AA14" s="129">
        <f t="shared" si="3"/>
        <v>389151.87635042646</v>
      </c>
      <c r="AC14" s="143">
        <f t="shared" si="4"/>
        <v>21334.53661981583</v>
      </c>
    </row>
    <row r="15" spans="2:29" x14ac:dyDescent="0.35">
      <c r="C15" s="224"/>
      <c r="D15" s="227"/>
      <c r="E15" s="225"/>
      <c r="F15">
        <f t="shared" si="9"/>
        <v>9</v>
      </c>
      <c r="G15" s="108">
        <f t="shared" si="10"/>
        <v>2034</v>
      </c>
      <c r="H15" s="75">
        <f t="shared" si="11"/>
        <v>205044.76191382596</v>
      </c>
      <c r="I15" s="74">
        <v>8.6177387601275482E-2</v>
      </c>
      <c r="J15" s="75">
        <f t="shared" si="12"/>
        <v>53932.993753246097</v>
      </c>
      <c r="K15" s="74">
        <v>3.7797631496846187E-2</v>
      </c>
      <c r="M15" s="75">
        <f t="shared" si="5"/>
        <v>151111.76816057987</v>
      </c>
      <c r="N15" s="77">
        <f t="shared" si="13"/>
        <v>0.10455523661578203</v>
      </c>
      <c r="O15" s="78"/>
      <c r="P15" s="130">
        <f t="shared" si="6"/>
        <v>134539.7097909195</v>
      </c>
      <c r="Q15" s="74">
        <v>0.29398375887802702</v>
      </c>
      <c r="R15" s="75">
        <f t="shared" si="0"/>
        <v>1614476.517491034</v>
      </c>
      <c r="S15" s="129">
        <f t="shared" si="1"/>
        <v>1888937.5254645096</v>
      </c>
      <c r="T15" s="75"/>
      <c r="U15" s="3">
        <f t="shared" si="14"/>
        <v>8000</v>
      </c>
      <c r="V15">
        <f t="shared" si="7"/>
        <v>96000</v>
      </c>
      <c r="W15" s="129">
        <f t="shared" si="2"/>
        <v>210475.0114271999</v>
      </c>
      <c r="Y15" s="3">
        <f t="shared" si="15"/>
        <v>3500</v>
      </c>
      <c r="Z15">
        <f t="shared" si="8"/>
        <v>42000</v>
      </c>
      <c r="AA15" s="129">
        <f t="shared" si="3"/>
        <v>335475.7554745056</v>
      </c>
      <c r="AC15" s="143">
        <f t="shared" si="4"/>
        <v>5072.0583696603717</v>
      </c>
    </row>
    <row r="16" spans="2:29" ht="15" thickBot="1" x14ac:dyDescent="0.4">
      <c r="C16" s="224"/>
      <c r="D16" s="227"/>
      <c r="E16" s="225"/>
      <c r="F16" s="92">
        <f t="shared" si="9"/>
        <v>10</v>
      </c>
      <c r="G16" s="110">
        <f t="shared" si="10"/>
        <v>2035</v>
      </c>
      <c r="H16" s="93">
        <f t="shared" si="11"/>
        <v>222880.041474759</v>
      </c>
      <c r="I16" s="94">
        <v>8.6982371041639431E-2</v>
      </c>
      <c r="J16" s="93">
        <f t="shared" si="12"/>
        <v>56031.266941244758</v>
      </c>
      <c r="K16" s="94">
        <v>3.8905186639530284E-2</v>
      </c>
      <c r="L16" s="92"/>
      <c r="M16" s="93">
        <f t="shared" si="5"/>
        <v>166848.77453351422</v>
      </c>
      <c r="N16" s="95">
        <f t="shared" si="13"/>
        <v>0.10414150111863774</v>
      </c>
      <c r="O16" s="96"/>
      <c r="P16" s="133">
        <f t="shared" si="6"/>
        <v>174901.62272819539</v>
      </c>
      <c r="Q16" s="94">
        <v>0.30000000000000038</v>
      </c>
      <c r="R16" s="93">
        <f t="shared" si="0"/>
        <v>2098819.4727383447</v>
      </c>
      <c r="S16" s="134">
        <f t="shared" si="1"/>
        <v>2098819.4727383447</v>
      </c>
      <c r="T16" s="93"/>
      <c r="U16" s="137">
        <f t="shared" si="14"/>
        <v>8000</v>
      </c>
      <c r="V16" s="92">
        <f t="shared" si="7"/>
        <v>96000</v>
      </c>
      <c r="W16" s="134">
        <f t="shared" si="2"/>
        <v>179893.17215999996</v>
      </c>
      <c r="X16" s="92"/>
      <c r="Y16" s="137">
        <f t="shared" si="15"/>
        <v>3500</v>
      </c>
      <c r="Z16" s="92">
        <f t="shared" si="8"/>
        <v>42000</v>
      </c>
      <c r="AA16" s="134">
        <f t="shared" si="3"/>
        <v>289203.23747802206</v>
      </c>
      <c r="AB16" s="92"/>
      <c r="AC16" s="145">
        <f t="shared" si="4"/>
        <v>-19552.848194681166</v>
      </c>
    </row>
    <row r="17" spans="4:29" x14ac:dyDescent="0.35">
      <c r="D17" s="227"/>
      <c r="E17" s="225"/>
      <c r="F17">
        <f t="shared" si="9"/>
        <v>11</v>
      </c>
      <c r="G17" s="108">
        <f t="shared" si="10"/>
        <v>2036</v>
      </c>
      <c r="H17" s="75">
        <f t="shared" si="11"/>
        <v>242447.76659674116</v>
      </c>
      <c r="I17" s="74">
        <v>8.7794873836642653E-2</v>
      </c>
      <c r="J17" s="75">
        <f t="shared" si="12"/>
        <v>58275.049987029168</v>
      </c>
      <c r="K17" s="74">
        <v>4.0045195625101025E-2</v>
      </c>
      <c r="M17" s="75">
        <f t="shared" si="5"/>
        <v>184172.71660971199</v>
      </c>
      <c r="N17" s="77">
        <f t="shared" si="13"/>
        <v>0.10383020267684362</v>
      </c>
      <c r="O17" s="78"/>
      <c r="P17" s="228" t="s">
        <v>125</v>
      </c>
      <c r="Q17" s="229"/>
      <c r="R17" s="229"/>
      <c r="S17" s="135">
        <f>SUM(S6:S16)</f>
        <v>15131649.8991464</v>
      </c>
      <c r="U17" s="3">
        <f t="shared" si="14"/>
        <v>8000</v>
      </c>
      <c r="V17">
        <f t="shared" si="7"/>
        <v>96000</v>
      </c>
      <c r="W17" s="129">
        <f t="shared" si="2"/>
        <v>153754.84799999997</v>
      </c>
      <c r="Y17" s="3">
        <f t="shared" si="15"/>
        <v>3500</v>
      </c>
      <c r="Z17">
        <f t="shared" si="8"/>
        <v>42000</v>
      </c>
      <c r="AA17" s="129">
        <f t="shared" si="3"/>
        <v>249313.13575691558</v>
      </c>
      <c r="AC17" s="143">
        <f t="shared" si="4"/>
        <v>172672.71660971199</v>
      </c>
    </row>
    <row r="18" spans="4:29" x14ac:dyDescent="0.35">
      <c r="D18" s="227"/>
      <c r="E18" s="225"/>
      <c r="F18">
        <f t="shared" si="9"/>
        <v>12</v>
      </c>
      <c r="G18" s="108">
        <f t="shared" si="10"/>
        <v>2037</v>
      </c>
      <c r="H18" s="75">
        <f t="shared" si="11"/>
        <v>263932.26724494522</v>
      </c>
      <c r="I18" s="74">
        <v>8.8614966224617189E-2</v>
      </c>
      <c r="J18" s="75">
        <f t="shared" si="12"/>
        <v>60677.066511593606</v>
      </c>
      <c r="K18" s="74">
        <v>4.1218609423742669E-2</v>
      </c>
      <c r="M18" s="75">
        <f t="shared" si="5"/>
        <v>203255.20073335161</v>
      </c>
      <c r="N18" s="77">
        <f t="shared" si="13"/>
        <v>0.10361189471987919</v>
      </c>
      <c r="O18" s="78"/>
      <c r="U18" s="3">
        <f t="shared" si="14"/>
        <v>8000</v>
      </c>
      <c r="V18">
        <f t="shared" si="7"/>
        <v>96000</v>
      </c>
      <c r="W18" s="129">
        <f t="shared" si="2"/>
        <v>131414.39999999997</v>
      </c>
      <c r="Y18" s="3">
        <f t="shared" si="15"/>
        <v>3500</v>
      </c>
      <c r="Z18">
        <f t="shared" si="8"/>
        <v>42000</v>
      </c>
      <c r="AA18" s="129">
        <f t="shared" si="3"/>
        <v>214925.11703182379</v>
      </c>
      <c r="AC18" s="143">
        <f t="shared" si="4"/>
        <v>191755.20073335161</v>
      </c>
    </row>
    <row r="19" spans="4:29" x14ac:dyDescent="0.35">
      <c r="D19" s="227"/>
      <c r="E19" s="225"/>
      <c r="F19">
        <f t="shared" si="9"/>
        <v>13</v>
      </c>
      <c r="G19" s="108">
        <f t="shared" si="10"/>
        <v>2038</v>
      </c>
      <c r="H19" s="75">
        <f t="shared" si="11"/>
        <v>287539.08688555885</v>
      </c>
      <c r="I19" s="74">
        <v>8.9442719099991796E-2</v>
      </c>
      <c r="J19" s="75">
        <f t="shared" si="12"/>
        <v>63251.376423164904</v>
      </c>
      <c r="K19" s="74">
        <v>4.2426406871192847E-2</v>
      </c>
      <c r="M19" s="75">
        <f t="shared" si="5"/>
        <v>224287.71046239394</v>
      </c>
      <c r="N19" s="77">
        <f t="shared" si="13"/>
        <v>0.10347833488715819</v>
      </c>
      <c r="O19" s="78"/>
      <c r="U19" s="3">
        <f t="shared" si="14"/>
        <v>8000</v>
      </c>
      <c r="V19">
        <f t="shared" si="7"/>
        <v>96000</v>
      </c>
      <c r="W19" s="129">
        <f t="shared" si="2"/>
        <v>112320</v>
      </c>
      <c r="Y19" s="3">
        <f t="shared" si="15"/>
        <v>3500</v>
      </c>
      <c r="Z19">
        <f t="shared" si="8"/>
        <v>42000</v>
      </c>
      <c r="AA19" s="129">
        <f t="shared" si="3"/>
        <v>185280.27330329639</v>
      </c>
      <c r="AC19" s="143">
        <f t="shared" si="4"/>
        <v>212787.71046239394</v>
      </c>
    </row>
    <row r="20" spans="4:29" ht="15" thickBot="1" x14ac:dyDescent="0.4">
      <c r="D20" s="227"/>
      <c r="E20" s="225"/>
      <c r="F20">
        <f t="shared" si="9"/>
        <v>14</v>
      </c>
      <c r="G20" s="112">
        <f t="shared" si="10"/>
        <v>2039</v>
      </c>
      <c r="H20" s="113">
        <f t="shared" si="11"/>
        <v>313497.59923497116</v>
      </c>
      <c r="I20" s="114">
        <v>9.0278204019420369E-2</v>
      </c>
      <c r="J20" s="113">
        <f t="shared" si="12"/>
        <v>66013.538445450788</v>
      </c>
      <c r="K20" s="114">
        <v>4.3669595485265618E-2</v>
      </c>
      <c r="L20" s="115"/>
      <c r="M20" s="113">
        <f t="shared" si="5"/>
        <v>247484.06078952039</v>
      </c>
      <c r="N20" s="116">
        <f t="shared" si="13"/>
        <v>0.10342229754499077</v>
      </c>
      <c r="O20" s="117"/>
      <c r="P20" s="115"/>
      <c r="Q20" s="115"/>
      <c r="R20" s="115"/>
      <c r="S20" s="115"/>
      <c r="T20" s="115"/>
      <c r="U20" s="138">
        <f t="shared" si="14"/>
        <v>8000</v>
      </c>
      <c r="V20" s="115">
        <f t="shared" si="7"/>
        <v>96000</v>
      </c>
      <c r="W20" s="139">
        <f t="shared" si="2"/>
        <v>96000</v>
      </c>
      <c r="X20" s="115"/>
      <c r="Y20" s="138">
        <f t="shared" si="15"/>
        <v>3500</v>
      </c>
      <c r="Z20" s="115">
        <f t="shared" si="8"/>
        <v>42000</v>
      </c>
      <c r="AA20" s="139">
        <f t="shared" si="3"/>
        <v>159724.37353732449</v>
      </c>
      <c r="AB20" s="115"/>
      <c r="AC20" s="146">
        <f t="shared" si="4"/>
        <v>235984.06078952039</v>
      </c>
    </row>
    <row r="21" spans="4:29" x14ac:dyDescent="0.35">
      <c r="E21" s="225"/>
      <c r="F21">
        <f t="shared" si="9"/>
        <v>15</v>
      </c>
      <c r="G21" s="108">
        <f t="shared" si="10"/>
        <v>2040</v>
      </c>
      <c r="H21" s="75">
        <f t="shared" si="11"/>
        <v>342063.96859437489</v>
      </c>
      <c r="I21" s="74">
        <v>9.1121493207967974E-2</v>
      </c>
      <c r="J21" s="75">
        <f t="shared" si="12"/>
        <v>68980.795000125479</v>
      </c>
      <c r="K21" s="74">
        <v>4.4949212306300439E-2</v>
      </c>
      <c r="M21" s="75">
        <f t="shared" si="5"/>
        <v>273083.17359424941</v>
      </c>
      <c r="N21" s="77">
        <f t="shared" si="13"/>
        <v>0.1034374202648165</v>
      </c>
      <c r="O21" s="78"/>
      <c r="U21" s="211" t="s">
        <v>125</v>
      </c>
      <c r="V21" s="212"/>
      <c r="W21" s="135">
        <f>SUM(W6:W20)</f>
        <v>5386572.1185581498</v>
      </c>
      <c r="Y21" s="3">
        <f t="shared" si="15"/>
        <v>3500</v>
      </c>
      <c r="Z21">
        <f t="shared" si="8"/>
        <v>42000</v>
      </c>
      <c r="AA21" s="129">
        <f t="shared" si="3"/>
        <v>137693.42546321076</v>
      </c>
      <c r="AC21" s="143">
        <f t="shared" si="4"/>
        <v>269583.17359424941</v>
      </c>
    </row>
    <row r="22" spans="4:29" x14ac:dyDescent="0.35">
      <c r="E22" s="225"/>
      <c r="F22">
        <f t="shared" si="9"/>
        <v>16</v>
      </c>
      <c r="G22" s="108">
        <f t="shared" si="10"/>
        <v>2041</v>
      </c>
      <c r="H22" s="75">
        <f t="shared" si="11"/>
        <v>373524.50152747938</v>
      </c>
      <c r="I22" s="74">
        <v>9.1972659565354317E-2</v>
      </c>
      <c r="J22" s="75">
        <f t="shared" si="12"/>
        <v>72172.282863958651</v>
      </c>
      <c r="K22" s="74">
        <v>4.6266324762238215E-2</v>
      </c>
      <c r="M22" s="75">
        <f t="shared" si="5"/>
        <v>301352.21866352076</v>
      </c>
      <c r="N22" s="77">
        <f t="shared" si="13"/>
        <v>0.103518077284666</v>
      </c>
      <c r="O22" s="78"/>
      <c r="Y22" s="3">
        <f t="shared" si="15"/>
        <v>3500</v>
      </c>
      <c r="Z22">
        <f t="shared" si="8"/>
        <v>42000</v>
      </c>
      <c r="AA22" s="129">
        <f t="shared" si="3"/>
        <v>118701.22884759548</v>
      </c>
      <c r="AC22" s="143">
        <f t="shared" si="4"/>
        <v>297852.21866352076</v>
      </c>
    </row>
    <row r="23" spans="4:29" x14ac:dyDescent="0.35">
      <c r="E23" s="225"/>
      <c r="F23">
        <f t="shared" si="9"/>
        <v>17</v>
      </c>
      <c r="G23" s="108">
        <f t="shared" si="10"/>
        <v>2042</v>
      </c>
      <c r="H23" s="75">
        <f t="shared" si="11"/>
        <v>408199.44463489408</v>
      </c>
      <c r="I23" s="74">
        <v>9.2831776672255853E-2</v>
      </c>
      <c r="J23" s="75">
        <f t="shared" si="12"/>
        <v>75609.273596194471</v>
      </c>
      <c r="K23" s="74">
        <v>4.7622031559045978E-2</v>
      </c>
      <c r="M23" s="75">
        <f t="shared" si="5"/>
        <v>332590.17103869963</v>
      </c>
      <c r="N23" s="77">
        <f t="shared" si="13"/>
        <v>0.10365927456488411</v>
      </c>
      <c r="O23" s="78"/>
      <c r="Y23" s="3">
        <f t="shared" si="15"/>
        <v>3500</v>
      </c>
      <c r="Z23">
        <f t="shared" si="8"/>
        <v>42000</v>
      </c>
      <c r="AA23" s="129">
        <f t="shared" si="3"/>
        <v>102328.64555827198</v>
      </c>
      <c r="AC23" s="143">
        <f t="shared" si="4"/>
        <v>329090.17103869963</v>
      </c>
    </row>
    <row r="24" spans="4:29" x14ac:dyDescent="0.35">
      <c r="E24" s="225"/>
      <c r="F24">
        <f t="shared" si="9"/>
        <v>18</v>
      </c>
      <c r="G24" s="108">
        <f t="shared" si="10"/>
        <v>2043</v>
      </c>
      <c r="H24" s="75">
        <f t="shared" si="11"/>
        <v>446447.29125058342</v>
      </c>
      <c r="I24" s="74">
        <v>9.3698918796666489E-2</v>
      </c>
      <c r="J24" s="75">
        <f t="shared" si="12"/>
        <v>79315.448412309153</v>
      </c>
      <c r="K24" s="74">
        <v>4.9017463597232989E-2</v>
      </c>
      <c r="M24" s="75">
        <f t="shared" si="5"/>
        <v>367131.84283827426</v>
      </c>
      <c r="N24" s="77">
        <f t="shared" si="13"/>
        <v>0.10385656224204953</v>
      </c>
      <c r="O24" s="78"/>
      <c r="Y24" s="3">
        <f t="shared" si="15"/>
        <v>3500</v>
      </c>
      <c r="Z24">
        <f t="shared" si="8"/>
        <v>42000</v>
      </c>
      <c r="AA24" s="129">
        <f t="shared" si="3"/>
        <v>88214.349619199988</v>
      </c>
      <c r="AC24" s="143">
        <f t="shared" si="4"/>
        <v>363631.84283827426</v>
      </c>
    </row>
    <row r="25" spans="4:29" x14ac:dyDescent="0.35">
      <c r="E25" s="225"/>
      <c r="F25">
        <f t="shared" si="9"/>
        <v>19</v>
      </c>
      <c r="G25" s="108">
        <f t="shared" si="10"/>
        <v>2044</v>
      </c>
      <c r="H25" s="75">
        <f t="shared" si="11"/>
        <v>488669.66920682718</v>
      </c>
      <c r="I25" s="74">
        <v>9.4574160900317894E-2</v>
      </c>
      <c r="J25" s="75">
        <f t="shared" si="12"/>
        <v>83317.212986958257</v>
      </c>
      <c r="K25" s="74">
        <v>5.0453784915222864E-2</v>
      </c>
      <c r="M25" s="75">
        <f t="shared" si="5"/>
        <v>405352.45621986891</v>
      </c>
      <c r="N25" s="77">
        <f t="shared" si="13"/>
        <v>0.10410596118852933</v>
      </c>
      <c r="O25" s="78"/>
      <c r="Y25" s="3">
        <f t="shared" si="15"/>
        <v>3500</v>
      </c>
      <c r="Z25">
        <f t="shared" si="8"/>
        <v>42000</v>
      </c>
      <c r="AA25" s="129">
        <f t="shared" si="3"/>
        <v>76046.853119999985</v>
      </c>
      <c r="AC25" s="143">
        <f t="shared" si="4"/>
        <v>401852.45621986891</v>
      </c>
    </row>
    <row r="26" spans="4:29" x14ac:dyDescent="0.35">
      <c r="E26" s="225"/>
      <c r="F26">
        <f t="shared" si="9"/>
        <v>20</v>
      </c>
      <c r="G26" s="108">
        <f t="shared" si="10"/>
        <v>2045</v>
      </c>
      <c r="H26" s="75">
        <f t="shared" si="11"/>
        <v>535316.89258664206</v>
      </c>
      <c r="I26" s="74">
        <v>9.5457578645159621E-2</v>
      </c>
      <c r="J26" s="75">
        <f t="shared" si="12"/>
        <v>87644.058627039136</v>
      </c>
      <c r="K26" s="74">
        <v>5.1932193660368574E-2</v>
      </c>
      <c r="M26" s="75">
        <f t="shared" si="5"/>
        <v>447672.83395960293</v>
      </c>
      <c r="N26" s="77">
        <f t="shared" si="13"/>
        <v>0.10440390107511477</v>
      </c>
      <c r="O26" s="78"/>
      <c r="Y26" s="3">
        <f t="shared" si="15"/>
        <v>3500</v>
      </c>
      <c r="Z26">
        <f t="shared" si="8"/>
        <v>42000</v>
      </c>
      <c r="AA26" s="129">
        <f t="shared" si="3"/>
        <v>65557.631999999998</v>
      </c>
      <c r="AC26" s="143">
        <f t="shared" si="4"/>
        <v>444172.83395960293</v>
      </c>
    </row>
    <row r="27" spans="4:29" x14ac:dyDescent="0.35">
      <c r="E27" s="225"/>
      <c r="F27">
        <f t="shared" si="9"/>
        <v>21</v>
      </c>
      <c r="G27" s="108">
        <f t="shared" si="10"/>
        <v>2046</v>
      </c>
      <c r="H27" s="75">
        <f t="shared" si="11"/>
        <v>586894.27284313506</v>
      </c>
      <c r="I27" s="74">
        <v>9.6349248399899959E-2</v>
      </c>
      <c r="J27" s="75">
        <f t="shared" si="12"/>
        <v>92328.977396045884</v>
      </c>
      <c r="K27" s="74">
        <v>5.3453923088420355E-2</v>
      </c>
      <c r="M27" s="75">
        <f t="shared" si="5"/>
        <v>494565.29544708919</v>
      </c>
      <c r="N27" s="77">
        <f t="shared" si="13"/>
        <v>0.10474716786526694</v>
      </c>
      <c r="O27" s="78"/>
      <c r="Y27" s="3">
        <f t="shared" si="15"/>
        <v>3500</v>
      </c>
      <c r="Z27">
        <f t="shared" si="8"/>
        <v>42000</v>
      </c>
      <c r="AA27" s="129">
        <f t="shared" si="3"/>
        <v>56515.199999999997</v>
      </c>
      <c r="AC27" s="143">
        <f t="shared" si="4"/>
        <v>491065.29544708919</v>
      </c>
    </row>
    <row r="28" spans="4:29" x14ac:dyDescent="0.35">
      <c r="E28" s="225"/>
      <c r="F28">
        <f t="shared" si="9"/>
        <v>22</v>
      </c>
      <c r="G28" s="108">
        <f t="shared" si="10"/>
        <v>2047</v>
      </c>
      <c r="H28" s="75">
        <f t="shared" si="11"/>
        <v>643969.29909047519</v>
      </c>
      <c r="I28" s="74">
        <v>9.7249247246607676E-2</v>
      </c>
      <c r="J28" s="75">
        <f t="shared" si="12"/>
        <v>97408.940130673494</v>
      </c>
      <c r="K28" s="74">
        <v>5.5020242592280277E-2</v>
      </c>
      <c r="M28" s="75">
        <f t="shared" si="5"/>
        <v>546560.35895980173</v>
      </c>
      <c r="N28" s="77">
        <f t="shared" si="13"/>
        <v>0.10513285908124392</v>
      </c>
      <c r="O28" s="78"/>
      <c r="Y28" s="3">
        <f t="shared" si="15"/>
        <v>3500</v>
      </c>
      <c r="Z28">
        <f t="shared" si="8"/>
        <v>42000</v>
      </c>
      <c r="AA28" s="129">
        <f t="shared" si="3"/>
        <v>48720</v>
      </c>
      <c r="AC28" s="143">
        <f t="shared" si="4"/>
        <v>543060.35895980173</v>
      </c>
    </row>
    <row r="29" spans="4:29" ht="15" thickBot="1" x14ac:dyDescent="0.4">
      <c r="E29" s="225"/>
      <c r="F29" s="97">
        <f t="shared" si="9"/>
        <v>23</v>
      </c>
      <c r="G29" s="111">
        <f t="shared" si="10"/>
        <v>2048</v>
      </c>
      <c r="H29" s="98">
        <f t="shared" si="11"/>
        <v>707179.8140851215</v>
      </c>
      <c r="I29" s="99">
        <v>9.8157652987375554E-2</v>
      </c>
      <c r="J29" s="98">
        <f t="shared" si="12"/>
        <v>102925.44791556698</v>
      </c>
      <c r="K29" s="99">
        <v>5.6632458760901602E-2</v>
      </c>
      <c r="L29" s="97"/>
      <c r="M29" s="98">
        <f t="shared" si="5"/>
        <v>604254.36616955453</v>
      </c>
      <c r="N29" s="100">
        <f t="shared" si="13"/>
        <v>0.1055583455037874</v>
      </c>
      <c r="O29" s="101"/>
      <c r="P29" s="97"/>
      <c r="Q29" s="97"/>
      <c r="R29" s="97"/>
      <c r="S29" s="97"/>
      <c r="T29" s="97"/>
      <c r="U29" s="97"/>
      <c r="V29" s="97"/>
      <c r="W29" s="97"/>
      <c r="X29" s="97"/>
      <c r="Y29" s="140">
        <f t="shared" si="15"/>
        <v>3500</v>
      </c>
      <c r="Z29" s="97">
        <f t="shared" si="8"/>
        <v>42000</v>
      </c>
      <c r="AA29" s="141">
        <f t="shared" si="3"/>
        <v>42000</v>
      </c>
      <c r="AB29" s="97"/>
      <c r="AC29" s="147">
        <f t="shared" si="4"/>
        <v>600754.36616955453</v>
      </c>
    </row>
    <row r="30" spans="4:29" x14ac:dyDescent="0.35">
      <c r="F30">
        <f t="shared" si="9"/>
        <v>24</v>
      </c>
      <c r="G30" s="108">
        <f t="shared" si="10"/>
        <v>2049</v>
      </c>
      <c r="H30" s="75">
        <f t="shared" si="11"/>
        <v>777243.33179842646</v>
      </c>
      <c r="I30" s="74">
        <v>9.9074544151046176E-2</v>
      </c>
      <c r="J30" s="75">
        <f t="shared" si="12"/>
        <v>108925.1695280179</v>
      </c>
      <c r="K30" s="74">
        <v>5.8291916469216339E-2</v>
      </c>
      <c r="M30" s="75">
        <f t="shared" si="5"/>
        <v>668318.16227040859</v>
      </c>
      <c r="N30" s="77">
        <f t="shared" si="13"/>
        <v>0.10602123821953091</v>
      </c>
      <c r="O30" s="78"/>
      <c r="Y30" s="209" t="s">
        <v>125</v>
      </c>
      <c r="Z30" s="210"/>
      <c r="AA30" s="135">
        <f>SUM(AA6:AA29)</f>
        <v>8987059.4733550921</v>
      </c>
    </row>
    <row r="31" spans="4:29" x14ac:dyDescent="0.35">
      <c r="F31">
        <f t="shared" si="9"/>
        <v>25</v>
      </c>
      <c r="G31" s="108">
        <f t="shared" si="10"/>
        <v>2050</v>
      </c>
      <c r="H31" s="75">
        <f t="shared" si="11"/>
        <v>854967.66497826937</v>
      </c>
      <c r="I31" s="74">
        <v>0.10000000000000041</v>
      </c>
      <c r="J31" s="75">
        <f t="shared" si="12"/>
        <v>115460.67969969897</v>
      </c>
      <c r="K31" s="74">
        <v>0.06</v>
      </c>
      <c r="M31" s="75">
        <f t="shared" si="5"/>
        <v>739506.98527857044</v>
      </c>
      <c r="N31" s="77">
        <f t="shared" si="13"/>
        <v>0.10651936012979113</v>
      </c>
      <c r="O31" s="78"/>
    </row>
  </sheetData>
  <mergeCells count="17">
    <mergeCell ref="C6:C16"/>
    <mergeCell ref="E6:E29"/>
    <mergeCell ref="B6:B11"/>
    <mergeCell ref="D6:D20"/>
    <mergeCell ref="P17:R17"/>
    <mergeCell ref="Y30:Z30"/>
    <mergeCell ref="U21:V21"/>
    <mergeCell ref="H3:M3"/>
    <mergeCell ref="U2:W2"/>
    <mergeCell ref="Y2:AA2"/>
    <mergeCell ref="R3:S3"/>
    <mergeCell ref="R4:S4"/>
    <mergeCell ref="P2:S2"/>
    <mergeCell ref="U3:U4"/>
    <mergeCell ref="Y3:Y4"/>
    <mergeCell ref="Z3:AA4"/>
    <mergeCell ref="V3:W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1D7A-E6D7-4D60-8FCA-7B9BA3EA027D}">
  <sheetPr>
    <tabColor rgb="FFC00000"/>
  </sheetPr>
  <dimension ref="A2:O22"/>
  <sheetViews>
    <sheetView showGridLines="0" zoomScale="102" zoomScaleNormal="100" workbookViewId="0">
      <pane xSplit="3" ySplit="6" topLeftCell="D7" activePane="bottomRight" state="frozen"/>
      <selection activeCell="B5" sqref="B5"/>
      <selection pane="topRight" activeCell="B5" sqref="B5"/>
      <selection pane="bottomLeft" activeCell="B5" sqref="B5"/>
      <selection pane="bottomRight" activeCell="N16" sqref="N16"/>
    </sheetView>
  </sheetViews>
  <sheetFormatPr defaultRowHeight="14.5" x14ac:dyDescent="0.35"/>
  <cols>
    <col min="1" max="1" width="1.81640625" style="25" customWidth="1"/>
    <col min="2" max="2" width="19.81640625" style="25" customWidth="1"/>
    <col min="3" max="3" width="51.7265625" style="25" bestFit="1" customWidth="1"/>
    <col min="4" max="4" width="8.81640625" style="25" bestFit="1" customWidth="1"/>
    <col min="5" max="7" width="4.26953125" style="25" bestFit="1" customWidth="1"/>
    <col min="8" max="8" width="5" style="25" customWidth="1"/>
    <col min="9" max="9" width="11.453125" style="25" bestFit="1" customWidth="1"/>
    <col min="10" max="10" width="9.26953125" style="25" customWidth="1"/>
    <col min="11" max="11" width="11.36328125" style="25" customWidth="1"/>
    <col min="12" max="12" width="1.453125" style="25" customWidth="1"/>
    <col min="13" max="13" width="11.81640625" style="25" hidden="1" customWidth="1"/>
    <col min="14" max="14" width="8.7265625" style="25"/>
    <col min="15" max="15" width="10" style="25" customWidth="1"/>
    <col min="16" max="16384" width="8.7265625" style="25"/>
  </cols>
  <sheetData>
    <row r="2" spans="1:15" ht="16" x14ac:dyDescent="0.4">
      <c r="A2" s="24"/>
      <c r="B2" s="24"/>
      <c r="C2" s="230"/>
      <c r="D2" s="230"/>
      <c r="E2" s="230"/>
      <c r="F2" s="230"/>
      <c r="G2" s="230"/>
      <c r="H2" s="230"/>
      <c r="I2" s="230"/>
      <c r="J2" s="230"/>
      <c r="K2" s="230"/>
      <c r="L2" s="230"/>
    </row>
    <row r="3" spans="1:15" ht="16" x14ac:dyDescent="0.4">
      <c r="A3" s="24"/>
      <c r="B3" s="24"/>
      <c r="C3" s="230"/>
      <c r="D3" s="230"/>
      <c r="E3" s="230"/>
      <c r="F3" s="230"/>
      <c r="G3" s="230"/>
      <c r="H3" s="230"/>
      <c r="I3" s="230"/>
      <c r="J3" s="230"/>
      <c r="K3" s="230"/>
      <c r="L3" s="230"/>
    </row>
    <row r="5" spans="1:15" x14ac:dyDescent="0.35">
      <c r="B5" s="149"/>
      <c r="C5" s="231" t="s">
        <v>68</v>
      </c>
      <c r="D5" s="231"/>
      <c r="E5" s="232" t="s">
        <v>69</v>
      </c>
      <c r="F5" s="231"/>
      <c r="G5" s="233"/>
      <c r="H5" s="232" t="s">
        <v>70</v>
      </c>
      <c r="I5" s="231"/>
      <c r="J5" s="233"/>
      <c r="K5" s="234" t="s">
        <v>71</v>
      </c>
      <c r="L5" s="148"/>
      <c r="M5" s="235" t="s">
        <v>72</v>
      </c>
    </row>
    <row r="6" spans="1:15" ht="21" customHeight="1" x14ac:dyDescent="0.35">
      <c r="B6" s="148"/>
      <c r="C6" s="26" t="s">
        <v>32</v>
      </c>
      <c r="D6" s="27" t="s">
        <v>73</v>
      </c>
      <c r="E6" s="28" t="s">
        <v>74</v>
      </c>
      <c r="F6" s="27" t="s">
        <v>75</v>
      </c>
      <c r="G6" s="29" t="s">
        <v>76</v>
      </c>
      <c r="H6" s="28" t="s">
        <v>77</v>
      </c>
      <c r="I6" s="27" t="s">
        <v>78</v>
      </c>
      <c r="J6" s="29" t="s">
        <v>79</v>
      </c>
      <c r="K6" s="234"/>
      <c r="L6" s="148"/>
      <c r="M6" s="235"/>
    </row>
    <row r="7" spans="1:15" ht="14.5" customHeight="1" x14ac:dyDescent="0.35">
      <c r="B7" s="236" t="s">
        <v>80</v>
      </c>
      <c r="C7" s="25" t="s">
        <v>81</v>
      </c>
      <c r="D7" s="30">
        <v>39677.379999999997</v>
      </c>
      <c r="E7" s="31">
        <v>0.2311</v>
      </c>
      <c r="F7" s="32">
        <v>0.2792</v>
      </c>
      <c r="G7" s="33">
        <v>0.13919999999999999</v>
      </c>
      <c r="H7" s="34">
        <v>0.98</v>
      </c>
      <c r="I7" s="25">
        <v>0.99</v>
      </c>
      <c r="J7" s="35">
        <v>5</v>
      </c>
      <c r="K7" s="36">
        <f>_xlfn.RANK.EQ(M7,$M$7:$M$9)</f>
        <v>2</v>
      </c>
      <c r="L7" s="148"/>
      <c r="M7" s="25">
        <f>D7*E7*F7*G7</f>
        <v>356.36708246276345</v>
      </c>
    </row>
    <row r="8" spans="1:15" ht="14.5" customHeight="1" x14ac:dyDescent="0.35">
      <c r="B8" s="236"/>
      <c r="C8" s="25" t="s">
        <v>82</v>
      </c>
      <c r="D8" s="30">
        <v>68033.75</v>
      </c>
      <c r="E8" s="31">
        <v>0.20629999999999998</v>
      </c>
      <c r="F8" s="32">
        <v>0.2482</v>
      </c>
      <c r="G8" s="33">
        <v>0.1399</v>
      </c>
      <c r="H8" s="34">
        <v>0.88</v>
      </c>
      <c r="I8" s="25">
        <v>0.95</v>
      </c>
      <c r="J8" s="35">
        <v>5</v>
      </c>
      <c r="K8" s="36">
        <f t="shared" ref="K8:K9" si="0">_xlfn.RANK.EQ(M8,$M$7:$M$9)</f>
        <v>1</v>
      </c>
      <c r="L8" s="148"/>
      <c r="M8" s="25">
        <f t="shared" ref="M8:M21" si="1">D8*E8*F8*G8</f>
        <v>487.35242279314747</v>
      </c>
      <c r="O8" s="37" t="s">
        <v>83</v>
      </c>
    </row>
    <row r="9" spans="1:15" ht="14.5" customHeight="1" x14ac:dyDescent="0.35">
      <c r="B9" s="236"/>
      <c r="C9" s="25" t="s">
        <v>84</v>
      </c>
      <c r="D9" s="30">
        <v>37315.11</v>
      </c>
      <c r="E9" s="31">
        <v>0.1913</v>
      </c>
      <c r="F9" s="32">
        <v>0.24350000000000002</v>
      </c>
      <c r="G9" s="33">
        <v>0.12640000000000001</v>
      </c>
      <c r="H9" s="34">
        <v>0.94</v>
      </c>
      <c r="I9" s="25">
        <v>0.83</v>
      </c>
      <c r="J9" s="35">
        <v>4</v>
      </c>
      <c r="K9" s="36">
        <f t="shared" si="0"/>
        <v>3</v>
      </c>
      <c r="L9" s="148"/>
      <c r="M9" s="25">
        <f t="shared" si="1"/>
        <v>219.70793170467127</v>
      </c>
      <c r="O9" s="37" t="s">
        <v>85</v>
      </c>
    </row>
    <row r="10" spans="1:15" x14ac:dyDescent="0.35">
      <c r="B10" s="149"/>
      <c r="C10" s="148"/>
      <c r="D10" s="150"/>
      <c r="E10" s="151"/>
      <c r="F10" s="152"/>
      <c r="G10" s="153"/>
      <c r="H10" s="154"/>
      <c r="I10" s="148"/>
      <c r="J10" s="155"/>
      <c r="K10" s="156"/>
      <c r="L10" s="148"/>
      <c r="O10" s="37" t="s">
        <v>86</v>
      </c>
    </row>
    <row r="11" spans="1:15" ht="14.5" customHeight="1" x14ac:dyDescent="0.35">
      <c r="B11" s="236" t="s">
        <v>87</v>
      </c>
      <c r="C11" s="25" t="s">
        <v>88</v>
      </c>
      <c r="D11" s="30">
        <v>27780.18</v>
      </c>
      <c r="E11" s="31">
        <v>0.32869999999999999</v>
      </c>
      <c r="F11" s="32">
        <v>0.38049999999999995</v>
      </c>
      <c r="G11" s="33">
        <v>0.17350000000000002</v>
      </c>
      <c r="H11" s="34">
        <v>0.83</v>
      </c>
      <c r="I11" s="25">
        <v>1.17</v>
      </c>
      <c r="J11" s="35">
        <v>5</v>
      </c>
      <c r="K11" s="36">
        <f>_xlfn.RANK.EQ(M11,$M$11:$M$13)</f>
        <v>3</v>
      </c>
      <c r="L11" s="148"/>
      <c r="M11" s="25">
        <f t="shared" si="1"/>
        <v>602.82173098753049</v>
      </c>
    </row>
    <row r="12" spans="1:15" ht="14.5" customHeight="1" x14ac:dyDescent="0.35">
      <c r="B12" s="236"/>
      <c r="C12" s="25" t="s">
        <v>89</v>
      </c>
      <c r="D12" s="30">
        <v>34690.03</v>
      </c>
      <c r="E12" s="31">
        <v>0.2918</v>
      </c>
      <c r="F12" s="32">
        <v>0.3468</v>
      </c>
      <c r="G12" s="33">
        <v>0.17430000000000001</v>
      </c>
      <c r="H12" s="34">
        <v>0.94</v>
      </c>
      <c r="I12" s="25">
        <v>1.03</v>
      </c>
      <c r="J12" s="35">
        <v>4</v>
      </c>
      <c r="K12" s="36">
        <f t="shared" ref="K12:K13" si="2">_xlfn.RANK.EQ(M12,$M$11:$M$13)</f>
        <v>2</v>
      </c>
      <c r="L12" s="148"/>
      <c r="M12" s="25">
        <f t="shared" si="1"/>
        <v>611.88025483921899</v>
      </c>
    </row>
    <row r="13" spans="1:15" ht="14.5" customHeight="1" x14ac:dyDescent="0.35">
      <c r="B13" s="236"/>
      <c r="C13" s="25" t="s">
        <v>90</v>
      </c>
      <c r="D13" s="30">
        <v>74909.759999999995</v>
      </c>
      <c r="E13" s="31">
        <v>0.30309999999999998</v>
      </c>
      <c r="F13" s="32">
        <v>0.34360000000000002</v>
      </c>
      <c r="G13" s="33">
        <v>0.17499999999999999</v>
      </c>
      <c r="H13" s="34">
        <v>0.87</v>
      </c>
      <c r="I13" s="25">
        <v>1.1399999999999999</v>
      </c>
      <c r="J13" s="35">
        <v>4</v>
      </c>
      <c r="K13" s="36">
        <f t="shared" si="2"/>
        <v>1</v>
      </c>
      <c r="L13" s="148"/>
      <c r="M13" s="25">
        <f t="shared" si="1"/>
        <v>1365.2605646332797</v>
      </c>
    </row>
    <row r="14" spans="1:15" x14ac:dyDescent="0.35">
      <c r="B14" s="149"/>
      <c r="C14" s="148"/>
      <c r="D14" s="150"/>
      <c r="E14" s="151"/>
      <c r="F14" s="152"/>
      <c r="G14" s="153"/>
      <c r="H14" s="154"/>
      <c r="I14" s="148"/>
      <c r="J14" s="157"/>
      <c r="K14" s="156"/>
      <c r="L14" s="148"/>
    </row>
    <row r="15" spans="1:15" ht="14.5" customHeight="1" x14ac:dyDescent="0.35">
      <c r="B15" s="236" t="s">
        <v>91</v>
      </c>
      <c r="C15" s="25" t="s">
        <v>92</v>
      </c>
      <c r="D15" s="30">
        <v>10244.1</v>
      </c>
      <c r="E15" s="31">
        <v>0.32549999999999996</v>
      </c>
      <c r="F15" s="32">
        <v>0.3735</v>
      </c>
      <c r="G15" s="33" t="s">
        <v>93</v>
      </c>
      <c r="H15" s="34">
        <v>0.89</v>
      </c>
      <c r="I15" s="25">
        <v>1.1000000000000001</v>
      </c>
      <c r="J15" s="35">
        <v>5</v>
      </c>
      <c r="K15" s="36">
        <f>_xlfn.RANK.EQ(M15,$M$15:$M$17)</f>
        <v>2</v>
      </c>
      <c r="L15" s="148"/>
      <c r="M15" s="25">
        <f>D15*E15*F15</f>
        <v>1245.4187744249998</v>
      </c>
    </row>
    <row r="16" spans="1:15" ht="14.5" customHeight="1" x14ac:dyDescent="0.35">
      <c r="B16" s="236"/>
      <c r="C16" s="25" t="s">
        <v>94</v>
      </c>
      <c r="D16" s="30">
        <v>23317.93</v>
      </c>
      <c r="E16" s="31">
        <v>0.22409999999999999</v>
      </c>
      <c r="F16" s="32">
        <v>0.318</v>
      </c>
      <c r="G16" s="33">
        <v>0.1832</v>
      </c>
      <c r="H16" s="34">
        <v>0.68</v>
      </c>
      <c r="I16" s="25">
        <v>0.78</v>
      </c>
      <c r="J16" s="35">
        <v>4</v>
      </c>
      <c r="K16" s="36">
        <f t="shared" ref="K16:K17" si="3">_xlfn.RANK.EQ(M16,$M$15:$M$17)</f>
        <v>3</v>
      </c>
      <c r="L16" s="148"/>
      <c r="M16" s="25">
        <f t="shared" si="1"/>
        <v>304.4278917479088</v>
      </c>
    </row>
    <row r="17" spans="2:13" ht="14.5" customHeight="1" x14ac:dyDescent="0.35">
      <c r="B17" s="236"/>
      <c r="C17" s="25" t="s">
        <v>95</v>
      </c>
      <c r="D17" s="30">
        <v>58028.59</v>
      </c>
      <c r="E17" s="31">
        <v>0.2843</v>
      </c>
      <c r="F17" s="32">
        <v>0.40130000000000005</v>
      </c>
      <c r="G17" s="33">
        <v>0.2122</v>
      </c>
      <c r="H17" s="34">
        <v>0.84</v>
      </c>
      <c r="I17" s="25">
        <v>0.9</v>
      </c>
      <c r="J17" s="35">
        <v>4</v>
      </c>
      <c r="K17" s="36">
        <f t="shared" si="3"/>
        <v>1</v>
      </c>
      <c r="L17" s="148"/>
      <c r="M17" s="25">
        <f t="shared" si="1"/>
        <v>1404.8611963804328</v>
      </c>
    </row>
    <row r="18" spans="2:13" x14ac:dyDescent="0.35">
      <c r="B18" s="149"/>
      <c r="C18" s="148"/>
      <c r="D18" s="150"/>
      <c r="E18" s="151"/>
      <c r="F18" s="148"/>
      <c r="G18" s="157"/>
      <c r="H18" s="154"/>
      <c r="I18" s="148"/>
      <c r="J18" s="157"/>
      <c r="K18" s="156"/>
      <c r="L18" s="148"/>
    </row>
    <row r="19" spans="2:13" ht="14.5" customHeight="1" x14ac:dyDescent="0.35">
      <c r="B19" s="236" t="s">
        <v>96</v>
      </c>
      <c r="C19" s="25" t="s">
        <v>97</v>
      </c>
      <c r="D19" s="30">
        <v>28506.07</v>
      </c>
      <c r="E19" s="31">
        <v>0.27989999999999998</v>
      </c>
      <c r="F19" s="32">
        <v>0.29670000000000002</v>
      </c>
      <c r="G19" s="33">
        <v>0.14180000000000001</v>
      </c>
      <c r="H19" s="34">
        <v>0.9</v>
      </c>
      <c r="I19" s="25">
        <v>1.28</v>
      </c>
      <c r="J19" s="35">
        <v>5</v>
      </c>
      <c r="K19" s="36">
        <f>_xlfn.RANK.EQ(M19,$M$19:$M$21)</f>
        <v>1</v>
      </c>
      <c r="L19" s="148"/>
      <c r="M19" s="25">
        <f t="shared" si="1"/>
        <v>335.68661356443562</v>
      </c>
    </row>
    <row r="20" spans="2:13" ht="14.5" customHeight="1" x14ac:dyDescent="0.35">
      <c r="B20" s="236"/>
      <c r="C20" s="25" t="s">
        <v>98</v>
      </c>
      <c r="D20" s="30">
        <v>16637.95</v>
      </c>
      <c r="E20" s="31">
        <v>0.22649999999999998</v>
      </c>
      <c r="F20" s="32">
        <v>0.27289999999999998</v>
      </c>
      <c r="G20" s="33">
        <v>0.158</v>
      </c>
      <c r="H20" s="34">
        <v>0.95</v>
      </c>
      <c r="I20" s="25">
        <v>0.93</v>
      </c>
      <c r="J20" s="35">
        <v>4</v>
      </c>
      <c r="K20" s="36">
        <f t="shared" ref="K20:K21" si="4">_xlfn.RANK.EQ(M20,$M$19:$M$21)</f>
        <v>2</v>
      </c>
      <c r="L20" s="148"/>
      <c r="M20" s="25">
        <f t="shared" si="1"/>
        <v>162.49075021378499</v>
      </c>
    </row>
    <row r="21" spans="2:13" ht="14.5" customHeight="1" x14ac:dyDescent="0.35">
      <c r="B21" s="236"/>
      <c r="C21" s="25" t="s">
        <v>99</v>
      </c>
      <c r="D21" s="30">
        <v>16232.4</v>
      </c>
      <c r="E21" s="31">
        <v>0.24829999999999999</v>
      </c>
      <c r="F21" s="32">
        <v>0.28449999999999998</v>
      </c>
      <c r="G21" s="33">
        <v>0.1338</v>
      </c>
      <c r="H21" s="34">
        <v>0.81</v>
      </c>
      <c r="I21" s="25">
        <v>1.28</v>
      </c>
      <c r="J21" s="35">
        <v>5</v>
      </c>
      <c r="K21" s="36">
        <f t="shared" si="4"/>
        <v>3</v>
      </c>
      <c r="L21" s="148"/>
      <c r="M21" s="25">
        <f t="shared" si="1"/>
        <v>153.42560333521197</v>
      </c>
    </row>
    <row r="22" spans="2:13" x14ac:dyDescent="0.35"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38"/>
    </row>
  </sheetData>
  <mergeCells count="10">
    <mergeCell ref="M5:M6"/>
    <mergeCell ref="B7:B9"/>
    <mergeCell ref="B11:B13"/>
    <mergeCell ref="B15:B17"/>
    <mergeCell ref="B19:B21"/>
    <mergeCell ref="C2:L3"/>
    <mergeCell ref="C5:D5"/>
    <mergeCell ref="E5:G5"/>
    <mergeCell ref="H5:J5"/>
    <mergeCell ref="K5:K6"/>
  </mergeCells>
  <conditionalFormatting sqref="N15">
    <cfRule type="colorScale" priority="6">
      <colorScale>
        <cfvo type="min"/>
        <cfvo type="percentile" val="50"/>
        <cfvo type="max"/>
        <color theme="9" tint="0.79998168889431442"/>
        <color theme="9" tint="0.39997558519241921"/>
        <color rgb="FF00E668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BDC8C91-0C9B-4895-A649-519529D38295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K7:K9</xm:sqref>
        </x14:conditionalFormatting>
        <x14:conditionalFormatting xmlns:xm="http://schemas.microsoft.com/office/excel/2006/main">
          <x14:cfRule type="iconSet" priority="4" id="{7605B7A9-29E6-4CB2-AE41-71C51933EF81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K11:K13</xm:sqref>
        </x14:conditionalFormatting>
        <x14:conditionalFormatting xmlns:xm="http://schemas.microsoft.com/office/excel/2006/main">
          <x14:cfRule type="iconSet" priority="3" id="{3DE99490-F148-44CF-96B2-4F1149E054CB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K15:K17</xm:sqref>
        </x14:conditionalFormatting>
        <x14:conditionalFormatting xmlns:xm="http://schemas.microsoft.com/office/excel/2006/main">
          <x14:cfRule type="iconSet" priority="2" id="{AC0CABC7-B4FA-4EE8-8160-D054ED7A5804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K19:K21</xm:sqref>
        </x14:conditionalFormatting>
        <x14:conditionalFormatting xmlns:xm="http://schemas.microsoft.com/office/excel/2006/main">
          <x14:cfRule type="iconSet" priority="1" id="{C175919D-7D83-4026-AD41-A511EDD9BDF7}">
            <x14:iconSet iconSet="3Stars" showValue="0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O8:O10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 Details</vt:lpstr>
      <vt:lpstr>Portfolio</vt:lpstr>
      <vt:lpstr>Calculation &amp; Assumption</vt:lpstr>
      <vt:lpstr>Projection</vt:lpstr>
      <vt:lpstr>Scheme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Vikram A. P. Singh</dc:creator>
  <cp:lastModifiedBy>Veer Vikram A. P. Singh</cp:lastModifiedBy>
  <dcterms:created xsi:type="dcterms:W3CDTF">2025-06-04T07:04:16Z</dcterms:created>
  <dcterms:modified xsi:type="dcterms:W3CDTF">2025-09-10T11:31:30Z</dcterms:modified>
</cp:coreProperties>
</file>